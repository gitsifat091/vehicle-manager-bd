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Tolls" sheetId="3" state="visible" r:id="rId3"/>
    <sheet xmlns:r="http://schemas.openxmlformats.org/officeDocument/2006/relationships" name="Cargo" sheetId="4" state="visible" r:id="rId4"/>
    <sheet xmlns:r="http://schemas.openxmlformats.org/officeDocument/2006/relationships" name="Vehicles" sheetId="5" state="visible" r:id="rId5"/>
    <sheet xmlns:r="http://schemas.openxmlformats.org/officeDocument/2006/relationships" name="Operating Permits" sheetId="6" state="visible" r:id="rId6"/>
    <sheet xmlns:r="http://schemas.openxmlformats.org/officeDocument/2006/relationships" name="Routes" sheetId="7" state="visible" r:id="rId7"/>
    <sheet xmlns:r="http://schemas.openxmlformats.org/officeDocument/2006/relationships" name="Trip Calculator" sheetId="8" state="visible" r:id="rId8"/>
    <sheet xmlns:r="http://schemas.openxmlformats.org/officeDocument/2006/relationships" name="First Hour"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
    <numFmt numFmtId="165" formatCode="0.0"/>
    <numFmt numFmtId="166" formatCode="0.0\x"/>
    <numFmt numFmtId="167" formatCode="0.0%"/>
    <numFmt numFmtId="168" formatCode="0.00\x"/>
    <numFmt numFmtId="169" formatCode="#,##0.0;\(#,##0.0\);\-"/>
    <numFmt numFmtId="170" formatCode="#,##0.00;\(#,##0.00\);\-"/>
    <numFmt numFmtId="171" formatCode="0.0%;\(0.0%\);\-"/>
    <numFmt numFmtId="172" formatCode="0\x"/>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color theme="1"/>
      <sz val="11"/>
    </font>
    <font>
      <name val="Arial"/>
      <charset val="1"/>
      <family val="0"/>
      <sz val="11"/>
    </font>
    <font>
      <name val="Arial"/>
      <charset val="1"/>
      <family val="0"/>
      <b val="1"/>
      <sz val="11"/>
    </font>
    <font>
      <name val="Arial"/>
      <charset val="1"/>
      <family val="0"/>
      <color rgb="FF000000"/>
      <sz val="11"/>
    </font>
    <font>
      <name val="Arial"/>
      <charset val="1"/>
      <family val="0"/>
      <color rgb="FF008000"/>
      <sz val="11"/>
    </font>
    <font>
      <name val="Arial"/>
      <charset val="1"/>
      <family val="0"/>
      <b val="1"/>
      <color rgb="FFFFFFFF"/>
      <sz val="11"/>
    </font>
    <font>
      <name val="Arial"/>
      <charset val="1"/>
      <family val="0"/>
      <i val="1"/>
      <sz val="11"/>
    </font>
    <font>
      <name val="Arial"/>
      <charset val="1"/>
      <family val="0"/>
      <color rgb="FF0000FF"/>
      <sz val="11"/>
    </font>
    <font>
      <name val="Arial"/>
      <family val="2"/>
      <sz val="10"/>
    </font>
  </fonts>
  <fills count="5">
    <fill>
      <patternFill/>
    </fill>
    <fill>
      <patternFill patternType="gray125"/>
    </fill>
    <fill>
      <patternFill patternType="solid">
        <fgColor rgb="FF1F4E5A"/>
        <bgColor rgb="FF003366"/>
      </patternFill>
    </fill>
    <fill>
      <patternFill patternType="solid">
        <fgColor rgb="FFFFFF00"/>
        <bgColor rgb="FFFFFF00"/>
      </patternFill>
    </fill>
    <fill>
      <patternFill patternType="solid">
        <fgColor rgb="FFE2EFDA"/>
        <bgColor rgb="FFFFFF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9" fillId="0" borderId="1" applyAlignment="1" pivotButton="0" quotePrefix="0" xfId="0">
      <alignment horizontal="general" vertical="bottom"/>
    </xf>
    <xf numFmtId="164" fontId="9" fillId="0" borderId="1" applyAlignment="1" pivotButton="0" quotePrefix="0" xfId="0">
      <alignment horizontal="general" vertical="bottom"/>
    </xf>
    <xf numFmtId="0" fontId="10" fillId="2" borderId="1" applyAlignment="1" pivotButton="0" quotePrefix="0" xfId="0">
      <alignment horizontal="general" vertical="center" wrapText="1"/>
    </xf>
    <xf numFmtId="165" fontId="9" fillId="0" borderId="1" applyAlignment="1" pivotButton="0" quotePrefix="0" xfId="0">
      <alignment horizontal="general" vertical="bottom"/>
    </xf>
    <xf numFmtId="0" fontId="11" fillId="0" borderId="0" applyAlignment="1" pivotButton="0" quotePrefix="0" xfId="0">
      <alignment horizontal="general" vertical="bottom"/>
    </xf>
    <xf numFmtId="164" fontId="12" fillId="0" borderId="1" applyAlignment="1" pivotButton="0" quotePrefix="0" xfId="0">
      <alignment horizontal="general" vertical="bottom"/>
    </xf>
    <xf numFmtId="0" fontId="8" fillId="0" borderId="1" applyAlignment="1" pivotButton="0" quotePrefix="0" xfId="0">
      <alignment horizontal="general" vertical="top" wrapText="1"/>
    </xf>
    <xf numFmtId="2" fontId="12" fillId="0" borderId="1" applyAlignment="1" pivotButton="0" quotePrefix="0" xfId="0">
      <alignment horizontal="general" vertical="bottom"/>
    </xf>
    <xf numFmtId="166" fontId="12" fillId="3" borderId="1" applyAlignment="1" pivotButton="0" quotePrefix="0" xfId="0">
      <alignment horizontal="general" vertical="bottom"/>
    </xf>
    <xf numFmtId="164" fontId="12" fillId="3" borderId="1" applyAlignment="1" pivotButton="0" quotePrefix="0" xfId="0">
      <alignment horizontal="general" vertical="bottom"/>
    </xf>
    <xf numFmtId="167" fontId="12" fillId="0" borderId="1" applyAlignment="1" pivotButton="0" quotePrefix="0" xfId="0">
      <alignment horizontal="general" vertical="bottom"/>
    </xf>
    <xf numFmtId="10" fontId="12" fillId="0" borderId="1" applyAlignment="1" pivotButton="0" quotePrefix="0" xfId="0">
      <alignment horizontal="general" vertical="bottom"/>
    </xf>
    <xf numFmtId="166" fontId="12" fillId="0" borderId="1" applyAlignment="1" pivotButton="0" quotePrefix="0" xfId="0">
      <alignment horizontal="general" vertical="bottom"/>
    </xf>
    <xf numFmtId="168" fontId="12" fillId="0" borderId="1" applyAlignment="1" pivotButton="0" quotePrefix="0" xfId="0">
      <alignment horizontal="general" vertical="bottom"/>
    </xf>
    <xf numFmtId="169" fontId="12" fillId="0" borderId="1" applyAlignment="1" pivotButton="0" quotePrefix="0" xfId="0">
      <alignment horizontal="general" vertical="bottom"/>
    </xf>
    <xf numFmtId="164" fontId="8" fillId="0" borderId="1" applyAlignment="1" pivotButton="0" quotePrefix="0" xfId="0">
      <alignment horizontal="general" vertical="bottom"/>
    </xf>
    <xf numFmtId="0" fontId="12" fillId="0" borderId="1" applyAlignment="1" pivotButton="0" quotePrefix="0" xfId="0">
      <alignment horizontal="general" vertical="bottom"/>
    </xf>
    <xf numFmtId="165" fontId="12" fillId="0" borderId="1" applyAlignment="1" pivotButton="0" quotePrefix="0" xfId="0">
      <alignment horizontal="general" vertical="bottom"/>
    </xf>
    <xf numFmtId="170" fontId="12" fillId="0" borderId="1" applyAlignment="1" pivotButton="0" quotePrefix="0" xfId="0">
      <alignment horizontal="general" vertical="bottom"/>
    </xf>
    <xf numFmtId="170" fontId="8" fillId="0" borderId="1" applyAlignment="1" pivotButton="0" quotePrefix="0" xfId="0">
      <alignment horizontal="general" vertical="bottom"/>
    </xf>
    <xf numFmtId="0" fontId="12" fillId="3" borderId="1" applyAlignment="1" pivotButton="0" quotePrefix="0" xfId="0">
      <alignment horizontal="general" vertical="bottom"/>
    </xf>
    <xf numFmtId="2" fontId="9" fillId="0" borderId="1" applyAlignment="1" pivotButton="0" quotePrefix="0" xfId="0">
      <alignment horizontal="general" vertical="bottom"/>
    </xf>
    <xf numFmtId="2" fontId="8" fillId="0" borderId="1" applyAlignment="1" pivotButton="0" quotePrefix="0" xfId="0">
      <alignment horizontal="general" vertical="bottom"/>
    </xf>
    <xf numFmtId="171" fontId="8" fillId="0" borderId="1" applyAlignment="1" pivotButton="0" quotePrefix="0" xfId="0">
      <alignment horizontal="general" vertical="bottom"/>
    </xf>
    <xf numFmtId="165" fontId="8" fillId="0" borderId="1" applyAlignment="1" pivotButton="0" quotePrefix="0" xfId="0">
      <alignment horizontal="general" vertical="bottom"/>
    </xf>
    <xf numFmtId="0" fontId="7" fillId="0" borderId="1" applyAlignment="1" pivotButton="0" quotePrefix="0" xfId="0">
      <alignment horizontal="general" vertical="bottom" wrapText="1"/>
    </xf>
    <xf numFmtId="172" fontId="8" fillId="0" borderId="1" applyAlignment="1" pivotButton="0" quotePrefix="0" xfId="0">
      <alignment horizontal="general" vertical="bottom"/>
    </xf>
    <xf numFmtId="0" fontId="8" fillId="4" borderId="1" applyAlignment="1" pivotButton="0" quotePrefix="0" xfId="0">
      <alignment horizontal="general" vertical="bottom"/>
    </xf>
    <xf numFmtId="172" fontId="8" fillId="4" borderId="1" applyAlignment="1" pivotButton="0" quotePrefix="0" xfId="0">
      <alignment horizontal="general" vertical="bottom"/>
    </xf>
    <xf numFmtId="164" fontId="8"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9" fillId="0" borderId="1" applyAlignment="1" pivotButton="0" quotePrefix="0" xfId="0">
      <alignment horizontal="general" vertical="bottom"/>
    </xf>
    <xf numFmtId="164" fontId="9" fillId="0" borderId="1" applyAlignment="1" pivotButton="0" quotePrefix="0" xfId="0">
      <alignment horizontal="general" vertical="bottom"/>
    </xf>
    <xf numFmtId="0" fontId="10" fillId="2" borderId="1" applyAlignment="1" pivotButton="0" quotePrefix="0" xfId="0">
      <alignment horizontal="general" vertical="center" wrapText="1"/>
    </xf>
    <xf numFmtId="165" fontId="9" fillId="0" borderId="1" applyAlignment="1" pivotButton="0" quotePrefix="0" xfId="0">
      <alignment horizontal="general" vertical="bottom"/>
    </xf>
    <xf numFmtId="0" fontId="11" fillId="0" borderId="0" applyAlignment="1" pivotButton="0" quotePrefix="0" xfId="0">
      <alignment horizontal="general" vertical="bottom"/>
    </xf>
    <xf numFmtId="164" fontId="12" fillId="0" borderId="1" applyAlignment="1" pivotButton="0" quotePrefix="0" xfId="0">
      <alignment horizontal="general" vertical="bottom"/>
    </xf>
    <xf numFmtId="0" fontId="8" fillId="0" borderId="1" applyAlignment="1" pivotButton="0" quotePrefix="0" xfId="0">
      <alignment horizontal="general" vertical="top" wrapText="1"/>
    </xf>
    <xf numFmtId="2" fontId="12" fillId="0" borderId="1" applyAlignment="1" pivotButton="0" quotePrefix="0" xfId="0">
      <alignment horizontal="general" vertical="bottom"/>
    </xf>
    <xf numFmtId="166" fontId="12" fillId="3" borderId="1" applyAlignment="1" pivotButton="0" quotePrefix="0" xfId="0">
      <alignment horizontal="general" vertical="bottom"/>
    </xf>
    <xf numFmtId="164" fontId="12" fillId="3" borderId="1" applyAlignment="1" pivotButton="0" quotePrefix="0" xfId="0">
      <alignment horizontal="general" vertical="bottom"/>
    </xf>
    <xf numFmtId="167" fontId="12" fillId="0" borderId="1" applyAlignment="1" pivotButton="0" quotePrefix="0" xfId="0">
      <alignment horizontal="general" vertical="bottom"/>
    </xf>
    <xf numFmtId="10" fontId="12" fillId="0" borderId="1" applyAlignment="1" pivotButton="0" quotePrefix="0" xfId="0">
      <alignment horizontal="general" vertical="bottom"/>
    </xf>
    <xf numFmtId="166" fontId="12" fillId="0" borderId="1" applyAlignment="1" pivotButton="0" quotePrefix="0" xfId="0">
      <alignment horizontal="general" vertical="bottom"/>
    </xf>
    <xf numFmtId="168" fontId="12" fillId="0" borderId="1" applyAlignment="1" pivotButton="0" quotePrefix="0" xfId="0">
      <alignment horizontal="general" vertical="bottom"/>
    </xf>
    <xf numFmtId="169" fontId="12" fillId="0" borderId="1" applyAlignment="1" pivotButton="0" quotePrefix="0" xfId="0">
      <alignment horizontal="general" vertical="bottom"/>
    </xf>
    <xf numFmtId="164" fontId="8" fillId="0" borderId="1" applyAlignment="1" pivotButton="0" quotePrefix="0" xfId="0">
      <alignment horizontal="general" vertical="bottom"/>
    </xf>
    <xf numFmtId="0" fontId="12" fillId="0" borderId="1" applyAlignment="1" pivotButton="0" quotePrefix="0" xfId="0">
      <alignment horizontal="general" vertical="bottom"/>
    </xf>
    <xf numFmtId="165" fontId="12" fillId="0" borderId="1" applyAlignment="1" pivotButton="0" quotePrefix="0" xfId="0">
      <alignment horizontal="general" vertical="bottom"/>
    </xf>
    <xf numFmtId="170" fontId="12" fillId="0" borderId="1" applyAlignment="1" pivotButton="0" quotePrefix="0" xfId="0">
      <alignment horizontal="general" vertical="bottom"/>
    </xf>
    <xf numFmtId="170" fontId="8" fillId="0" borderId="1" applyAlignment="1" pivotButton="0" quotePrefix="0" xfId="0">
      <alignment horizontal="general" vertical="bottom"/>
    </xf>
    <xf numFmtId="0" fontId="12" fillId="3" borderId="1" applyAlignment="1" pivotButton="0" quotePrefix="0" xfId="0">
      <alignment horizontal="general" vertical="bottom"/>
    </xf>
    <xf numFmtId="2" fontId="9" fillId="0" borderId="1" applyAlignment="1" pivotButton="0" quotePrefix="0" xfId="0">
      <alignment horizontal="general" vertical="bottom"/>
    </xf>
    <xf numFmtId="2" fontId="8" fillId="0" borderId="1" applyAlignment="1" pivotButton="0" quotePrefix="0" xfId="0">
      <alignment horizontal="general" vertical="bottom"/>
    </xf>
    <xf numFmtId="171" fontId="8" fillId="0" borderId="1" applyAlignment="1" pivotButton="0" quotePrefix="0" xfId="0">
      <alignment horizontal="general" vertical="bottom"/>
    </xf>
    <xf numFmtId="165" fontId="8" fillId="0" borderId="1" applyAlignment="1" pivotButton="0" quotePrefix="0" xfId="0">
      <alignment horizontal="general" vertical="bottom"/>
    </xf>
    <xf numFmtId="0" fontId="7" fillId="0" borderId="1" applyAlignment="1" pivotButton="0" quotePrefix="0" xfId="0">
      <alignment horizontal="general" vertical="bottom" wrapText="1"/>
    </xf>
    <xf numFmtId="172" fontId="8" fillId="0" borderId="1" applyAlignment="1" pivotButton="0" quotePrefix="0" xfId="0">
      <alignment horizontal="general" vertical="bottom"/>
    </xf>
    <xf numFmtId="0" fontId="8" fillId="4" borderId="1" applyAlignment="1" pivotButton="0" quotePrefix="0" xfId="0">
      <alignment horizontal="general" vertical="bottom"/>
    </xf>
    <xf numFmtId="172" fontId="8" fillId="4" borderId="1" applyAlignment="1" pivotButton="0" quotePrefix="0" xfId="0">
      <alignment horizontal="general" vertical="bottom"/>
    </xf>
    <xf numFmtId="164" fontId="8" fillId="4"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5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E5" authorId="0" shapeId="0">
      <text>
        <t>Meghna+Gumti column is the total for both bridges on the Dhaka-Cumilla-Chattogram road. Approximate, built from the 2015 toll policy and a Prothom Alo report (truck about Tk 400 per bridge). Verify before release.</t>
      </text>
    </comment>
    <comment ref="F5" authorId="0" shapeId="0">
      <text>
        <t>Paturia-Daulatdia ferry. Only 'up to 3 t truck' (Tk 740) and '8-11 t truck' (Tk 1,460) are from the BIWTC fare list. Other classes are estimates.</t>
      </text>
    </comment>
    <comment ref="C11" authorId="0" shapeId="0">
      <text>
        <t>Padma trailer (4 axles) Tk 6,000 plus Tk 1,500 per extra axle.</t>
      </text>
    </comment>
  </commentList>
</comments>
</file>

<file path=xl/comments/comment2.xml><?xml version="1.0" encoding="utf-8"?>
<comments xmlns="http://schemas.openxmlformats.org/spreadsheetml/2006/main">
  <authors>
    <author>Unknown Author</author>
  </authors>
  <commentList>
    <comment ref="O4" authorId="0" shapeId="0">
      <text>
        <t>Small vehicles charge more per ton in the real market. Example: a 1.5 t pickup costs about Tk 2,000 for a 15 km city trip, far above the per-ton rate of a big truck.</t>
      </text>
    </comment>
    <comment ref="F12" authorId="0" shapeId="0">
      <text>
        <t>Tanker legal load = 15,000 L of diesel at about 0.85 kg/L. Overloading not allowed.</t>
      </text>
    </comment>
  </commentList>
</comments>
</file>

<file path=xl/comments/comment3.xml><?xml version="1.0" encoding="utf-8"?>
<comments xmlns="http://schemas.openxmlformats.org/spreadsheetml/2006/main">
  <authors>
    <author>Unknown Author</author>
  </authors>
  <commentList>
    <comment ref="N4" authorId="0" shapeId="0">
      <text>
        <t>Revenue = load (t) x (base fare + rate x one-way km) x cargo factor x small-load premium x freight multiplier. Local hauls are paid one way and return empty.</t>
      </text>
    </comment>
    <comment ref="T4" authorId="0" shapeId="0">
      <text>
        <t>Expected value = weighbridges on route x check chance x (fixed fine + per-ton fine x tons over).</t>
      </text>
    </comment>
    <comment ref="AE4" authorId="0" shapeId="0">
      <text>
        <t>Route daily demand divided by what one vehicle can move per game day. Below 1 means one vehicle alone exceeds the demand.</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36" min="1" max="1"/>
    <col width="18" customWidth="1" style="36" min="2" max="2"/>
    <col width="16" customWidth="1" style="36" min="3" max="4"/>
    <col width="14" customWidth="1" style="36" min="5" max="5"/>
  </cols>
  <sheetData>
    <row r="1" ht="17.35" customHeight="1" s="37">
      <c r="A1" s="38" t="inlineStr">
        <is>
          <t>Vehicle Manager Bangladesh: economy model v0.1</t>
        </is>
      </c>
      <c r="B1" s="39" t="n"/>
      <c r="C1" s="39" t="n"/>
      <c r="D1" s="39" t="n"/>
      <c r="E1" s="39" t="n"/>
    </row>
    <row r="2" ht="15" customHeight="1" s="37">
      <c r="A2" s="39" t="n"/>
      <c r="B2" s="39" t="n"/>
      <c r="C2" s="39" t="n"/>
      <c r="D2" s="39" t="n"/>
      <c r="E2" s="39" t="n"/>
    </row>
    <row r="3" ht="15" customHeight="1" s="37">
      <c r="A3" s="40" t="inlineStr">
        <is>
          <t>Purpose: check that the money and time numbers feel right before any code is written.</t>
        </is>
      </c>
      <c r="B3" s="39" t="n"/>
      <c r="C3" s="39" t="n"/>
      <c r="D3" s="39" t="n"/>
      <c r="E3" s="39" t="n"/>
    </row>
    <row r="4" ht="15" customHeight="1" s="37">
      <c r="A4" s="40" t="inlineStr">
        <is>
          <t>How to use: change blue cells (yellow = main levers on the Settings sheet). Black cells are formulas, green cells link to another sheet.</t>
        </is>
      </c>
      <c r="B4" s="39" t="n"/>
      <c r="C4" s="39" t="n"/>
      <c r="D4" s="39" t="n"/>
      <c r="E4" s="39" t="n"/>
    </row>
    <row r="5" ht="15" customHeight="1" s="37">
      <c r="A5" s="40" t="inlineStr">
        <is>
          <t>Sheets: Settings (levers), Vehicles (12 tiers), Operating Permits (one-time Taka purchases that unlock tiers), Routes, Cargo, Tolls, Trip Calculator (one row per scenario), First Hour (purchase simulation).</t>
        </is>
      </c>
      <c r="B5" s="39" t="n"/>
      <c r="C5" s="39" t="n"/>
      <c r="D5" s="39" t="n"/>
      <c r="E5" s="39" t="n"/>
    </row>
    <row r="6" ht="15" customHeight="1" s="37">
      <c r="A6" s="40" t="inlineStr">
        <is>
          <t>All money is in Taka. Time: 'game hours' are in-world time, 'real minutes or hours' are what the player waits at 1x speed.</t>
        </is>
      </c>
      <c r="B6" s="39" t="n"/>
      <c r="C6" s="39" t="n"/>
      <c r="D6" s="39" t="n"/>
      <c r="E6" s="39" t="n"/>
    </row>
    <row r="7" ht="15" customHeight="1" s="37">
      <c r="A7" s="39" t="n"/>
      <c r="B7" s="39" t="n"/>
      <c r="C7" s="39" t="n"/>
      <c r="D7" s="39" t="n"/>
      <c r="E7" s="39" t="n"/>
    </row>
    <row r="8" ht="15" customHeight="1" s="37">
      <c r="A8" s="41" t="inlineStr">
        <is>
          <t>Key results (live)</t>
        </is>
      </c>
      <c r="B8" s="39" t="n"/>
      <c r="C8" s="39" t="n"/>
      <c r="D8" s="39" t="n"/>
      <c r="E8" s="39" t="n"/>
    </row>
    <row r="9" ht="15" customHeight="1" s="37">
      <c r="A9" s="42" t="inlineStr">
        <is>
          <t>Purchases in the first 60 minutes</t>
        </is>
      </c>
      <c r="B9" s="43">
        <f>'First Hour'!G4</f>
        <v/>
      </c>
      <c r="C9" s="39" t="n"/>
      <c r="D9" s="39" t="n"/>
      <c r="E9" s="39" t="n"/>
    </row>
    <row r="10" ht="15" customHeight="1" s="37">
      <c r="A10" s="42" t="inlineStr">
        <is>
          <t>Purchases in the first 4 hours</t>
        </is>
      </c>
      <c r="B10" s="43">
        <f>'First Hour'!G5</f>
        <v/>
      </c>
      <c r="C10" s="39" t="n"/>
      <c r="D10" s="39" t="n"/>
      <c r="E10" s="39" t="n"/>
    </row>
    <row r="11" ht="15" customHeight="1" s="37">
      <c r="A11" s="42" t="inlineStr">
        <is>
          <t>Fleet profit per real hour once Turbo Start ends (Tk)</t>
        </is>
      </c>
      <c r="B11" s="44">
        <f>'First Hour'!G6</f>
        <v/>
      </c>
      <c r="C11" s="39" t="n"/>
      <c r="D11" s="39" t="n"/>
      <c r="E11" s="39" t="n"/>
    </row>
    <row r="12" ht="15" customHeight="1" s="37">
      <c r="A12" s="42" t="inlineStr">
        <is>
          <t>Tiers inside their payback target</t>
        </is>
      </c>
      <c r="B12" s="43">
        <f>COUNTIF('Trip Calculator'!AC5:AC16,"OK")&amp;" of 12"</f>
        <v/>
      </c>
      <c r="C12" s="39" t="n"/>
      <c r="D12" s="39" t="n"/>
      <c r="E12" s="39" t="n"/>
    </row>
    <row r="13" ht="15" customHeight="1" s="37">
      <c r="A13" s="39" t="n"/>
      <c r="B13" s="39" t="n"/>
      <c r="C13" s="39" t="n"/>
      <c r="D13" s="39" t="n"/>
      <c r="E13" s="39" t="n"/>
    </row>
    <row r="14" ht="45" customHeight="1" s="37">
      <c r="A14" s="45" t="inlineStr">
        <is>
          <t>Tier and typical route</t>
        </is>
      </c>
      <c r="B14" s="45" t="inlineStr">
        <is>
          <t>Payback (real h)</t>
        </is>
      </c>
      <c r="C14" s="45" t="inlineStr">
        <is>
          <t>Target (real h)</t>
        </is>
      </c>
      <c r="D14" s="45" t="inlineStr">
        <is>
          <t>Status</t>
        </is>
      </c>
      <c r="E14" s="45" t="inlineStr">
        <is>
          <t>Profit per trip (Tk)</t>
        </is>
      </c>
    </row>
    <row r="15" ht="15" customHeight="1" s="37">
      <c r="A15" s="43">
        <f>'Trip Calculator'!F5&amp;" on "&amp;'Trip Calculator'!C5&amp;" ("&amp;'Trip Calculator'!D5&amp;")"</f>
        <v/>
      </c>
      <c r="B15" s="46">
        <f>'Trip Calculator'!AA5</f>
        <v/>
      </c>
      <c r="C15" s="43">
        <f>'Trip Calculator'!AB5</f>
        <v/>
      </c>
      <c r="D15" s="43">
        <f>'Trip Calculator'!AC5</f>
        <v/>
      </c>
      <c r="E15" s="44">
        <f>'Trip Calculator'!W5</f>
        <v/>
      </c>
    </row>
    <row r="16" ht="15" customHeight="1" s="37">
      <c r="A16" s="43">
        <f>'Trip Calculator'!F6&amp;" on "&amp;'Trip Calculator'!C6&amp;" ("&amp;'Trip Calculator'!D6&amp;")"</f>
        <v/>
      </c>
      <c r="B16" s="46">
        <f>'Trip Calculator'!AA6</f>
        <v/>
      </c>
      <c r="C16" s="43">
        <f>'Trip Calculator'!AB6</f>
        <v/>
      </c>
      <c r="D16" s="43">
        <f>'Trip Calculator'!AC6</f>
        <v/>
      </c>
      <c r="E16" s="44">
        <f>'Trip Calculator'!W6</f>
        <v/>
      </c>
    </row>
    <row r="17" ht="15" customHeight="1" s="37">
      <c r="A17" s="43">
        <f>'Trip Calculator'!F7&amp;" on "&amp;'Trip Calculator'!C7&amp;" ("&amp;'Trip Calculator'!D7&amp;")"</f>
        <v/>
      </c>
      <c r="B17" s="46">
        <f>'Trip Calculator'!AA7</f>
        <v/>
      </c>
      <c r="C17" s="43">
        <f>'Trip Calculator'!AB7</f>
        <v/>
      </c>
      <c r="D17" s="43">
        <f>'Trip Calculator'!AC7</f>
        <v/>
      </c>
      <c r="E17" s="44">
        <f>'Trip Calculator'!W7</f>
        <v/>
      </c>
    </row>
    <row r="18" ht="15" customHeight="1" s="37">
      <c r="A18" s="43">
        <f>'Trip Calculator'!F8&amp;" on "&amp;'Trip Calculator'!C8&amp;" ("&amp;'Trip Calculator'!D8&amp;")"</f>
        <v/>
      </c>
      <c r="B18" s="46">
        <f>'Trip Calculator'!AA8</f>
        <v/>
      </c>
      <c r="C18" s="43">
        <f>'Trip Calculator'!AB8</f>
        <v/>
      </c>
      <c r="D18" s="43">
        <f>'Trip Calculator'!AC8</f>
        <v/>
      </c>
      <c r="E18" s="44">
        <f>'Trip Calculator'!W8</f>
        <v/>
      </c>
    </row>
    <row r="19" ht="15" customHeight="1" s="37">
      <c r="A19" s="43">
        <f>'Trip Calculator'!F9&amp;" on "&amp;'Trip Calculator'!C9&amp;" ("&amp;'Trip Calculator'!D9&amp;")"</f>
        <v/>
      </c>
      <c r="B19" s="46">
        <f>'Trip Calculator'!AA9</f>
        <v/>
      </c>
      <c r="C19" s="43">
        <f>'Trip Calculator'!AB9</f>
        <v/>
      </c>
      <c r="D19" s="43">
        <f>'Trip Calculator'!AC9</f>
        <v/>
      </c>
      <c r="E19" s="44">
        <f>'Trip Calculator'!W9</f>
        <v/>
      </c>
    </row>
    <row r="20" ht="15" customHeight="1" s="37">
      <c r="A20" s="43">
        <f>'Trip Calculator'!F10&amp;" on "&amp;'Trip Calculator'!C10&amp;" ("&amp;'Trip Calculator'!D10&amp;")"</f>
        <v/>
      </c>
      <c r="B20" s="46">
        <f>'Trip Calculator'!AA10</f>
        <v/>
      </c>
      <c r="C20" s="43">
        <f>'Trip Calculator'!AB10</f>
        <v/>
      </c>
      <c r="D20" s="43">
        <f>'Trip Calculator'!AC10</f>
        <v/>
      </c>
      <c r="E20" s="44">
        <f>'Trip Calculator'!W10</f>
        <v/>
      </c>
    </row>
    <row r="21" ht="15" customHeight="1" s="37">
      <c r="A21" s="43">
        <f>'Trip Calculator'!F11&amp;" on "&amp;'Trip Calculator'!C11&amp;" ("&amp;'Trip Calculator'!D11&amp;")"</f>
        <v/>
      </c>
      <c r="B21" s="46">
        <f>'Trip Calculator'!AA11</f>
        <v/>
      </c>
      <c r="C21" s="43">
        <f>'Trip Calculator'!AB11</f>
        <v/>
      </c>
      <c r="D21" s="43">
        <f>'Trip Calculator'!AC11</f>
        <v/>
      </c>
      <c r="E21" s="44">
        <f>'Trip Calculator'!W11</f>
        <v/>
      </c>
    </row>
    <row r="22" ht="15" customHeight="1" s="37">
      <c r="A22" s="43">
        <f>'Trip Calculator'!F12&amp;" on "&amp;'Trip Calculator'!C12&amp;" ("&amp;'Trip Calculator'!D12&amp;")"</f>
        <v/>
      </c>
      <c r="B22" s="46">
        <f>'Trip Calculator'!AA12</f>
        <v/>
      </c>
      <c r="C22" s="43">
        <f>'Trip Calculator'!AB12</f>
        <v/>
      </c>
      <c r="D22" s="43">
        <f>'Trip Calculator'!AC12</f>
        <v/>
      </c>
      <c r="E22" s="44">
        <f>'Trip Calculator'!W12</f>
        <v/>
      </c>
    </row>
    <row r="23" ht="15" customHeight="1" s="37">
      <c r="A23" s="43">
        <f>'Trip Calculator'!F13&amp;" on "&amp;'Trip Calculator'!C13&amp;" ("&amp;'Trip Calculator'!D13&amp;")"</f>
        <v/>
      </c>
      <c r="B23" s="46">
        <f>'Trip Calculator'!AA13</f>
        <v/>
      </c>
      <c r="C23" s="43">
        <f>'Trip Calculator'!AB13</f>
        <v/>
      </c>
      <c r="D23" s="43">
        <f>'Trip Calculator'!AC13</f>
        <v/>
      </c>
      <c r="E23" s="44">
        <f>'Trip Calculator'!W13</f>
        <v/>
      </c>
    </row>
    <row r="24" ht="15" customHeight="1" s="37">
      <c r="A24" s="43">
        <f>'Trip Calculator'!F14&amp;" on "&amp;'Trip Calculator'!C14&amp;" ("&amp;'Trip Calculator'!D14&amp;")"</f>
        <v/>
      </c>
      <c r="B24" s="46">
        <f>'Trip Calculator'!AA14</f>
        <v/>
      </c>
      <c r="C24" s="43">
        <f>'Trip Calculator'!AB14</f>
        <v/>
      </c>
      <c r="D24" s="43">
        <f>'Trip Calculator'!AC14</f>
        <v/>
      </c>
      <c r="E24" s="44">
        <f>'Trip Calculator'!W14</f>
        <v/>
      </c>
    </row>
    <row r="25" ht="15" customHeight="1" s="37">
      <c r="A25" s="43">
        <f>'Trip Calculator'!F15&amp;" on "&amp;'Trip Calculator'!C15&amp;" ("&amp;'Trip Calculator'!D15&amp;")"</f>
        <v/>
      </c>
      <c r="B25" s="46">
        <f>'Trip Calculator'!AA15</f>
        <v/>
      </c>
      <c r="C25" s="43">
        <f>'Trip Calculator'!AB15</f>
        <v/>
      </c>
      <c r="D25" s="43">
        <f>'Trip Calculator'!AC15</f>
        <v/>
      </c>
      <c r="E25" s="44">
        <f>'Trip Calculator'!W15</f>
        <v/>
      </c>
    </row>
    <row r="26" ht="15" customHeight="1" s="37">
      <c r="A26" s="43">
        <f>'Trip Calculator'!F16&amp;" on "&amp;'Trip Calculator'!C16&amp;" ("&amp;'Trip Calculator'!D16&amp;")"</f>
        <v/>
      </c>
      <c r="B26" s="46">
        <f>'Trip Calculator'!AA16</f>
        <v/>
      </c>
      <c r="C26" s="43">
        <f>'Trip Calculator'!AB16</f>
        <v/>
      </c>
      <c r="D26" s="43">
        <f>'Trip Calculator'!AC16</f>
        <v/>
      </c>
      <c r="E26" s="44">
        <f>'Trip Calculator'!W16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36" min="1" max="1"/>
    <col width="14" customWidth="1" style="36" min="2" max="2"/>
    <col width="18" customWidth="1" style="36" min="3" max="3"/>
    <col width="90" customWidth="1" style="36" min="4" max="4"/>
  </cols>
  <sheetData>
    <row r="1" ht="17.35" customHeight="1" s="37">
      <c r="A1" s="38" t="inlineStr">
        <is>
          <t>Global settings and balancing levers</t>
        </is>
      </c>
      <c r="B1" s="39" t="n"/>
      <c r="C1" s="39" t="n"/>
      <c r="D1" s="39" t="n"/>
    </row>
    <row r="2" ht="15" customHeight="1" s="37">
      <c r="A2" s="47" t="inlineStr">
        <is>
          <t>Blue = input you can change. Yellow = key balancing lever. Every other sheet reads from here.</t>
        </is>
      </c>
      <c r="B2" s="39" t="n"/>
      <c r="C2" s="39" t="n"/>
      <c r="D2" s="39" t="n"/>
    </row>
    <row r="3" ht="15" customHeight="1" s="37">
      <c r="A3" s="39" t="n"/>
      <c r="B3" s="39" t="n"/>
      <c r="C3" s="39" t="n"/>
      <c r="D3" s="39" t="n"/>
    </row>
    <row r="4" ht="45" customHeight="1" s="37">
      <c r="A4" s="45" t="inlineStr">
        <is>
          <t>Setting</t>
        </is>
      </c>
      <c r="B4" s="45" t="inlineStr">
        <is>
          <t>Value</t>
        </is>
      </c>
      <c r="C4" s="45" t="inlineStr">
        <is>
          <t>Unit</t>
        </is>
      </c>
      <c r="D4" s="45" t="inlineStr">
        <is>
          <t>Source or reasoning</t>
        </is>
      </c>
    </row>
    <row r="5" ht="26.85" customHeight="1" s="37">
      <c r="A5" s="42" t="inlineStr">
        <is>
          <t>Diesel price</t>
        </is>
      </c>
      <c r="B5" s="48" t="n">
        <v>135</v>
      </c>
      <c r="C5" s="42" t="inlineStr">
        <is>
          <t>Tk per litre</t>
        </is>
      </c>
      <c r="D5" s="49" t="inlineStr">
        <is>
          <t>Real. EMRD order, effective 21 Sep 2026 (research doc). Move by +/- Tk 15-20 for fuel shock events.</t>
        </is>
      </c>
    </row>
    <row r="6" ht="26.85" customHeight="1" s="37">
      <c r="A6" s="42" t="inlineStr">
        <is>
          <t>Base fare per ton (loading component)</t>
        </is>
      </c>
      <c r="B6" s="48" t="n">
        <v>300</v>
      </c>
      <c r="C6" s="42" t="inlineStr">
        <is>
          <t>Tk per ton</t>
        </is>
      </c>
      <c r="D6" s="49" t="inlineStr">
        <is>
          <t>Fitted to real fares: 6-wheel truck in Dhaka about Tk 4,700 for 20 km and Tk 24,000 Dhaka-Chattogram for 10 t (Jugantor, 9 Oct 2026).</t>
        </is>
      </c>
    </row>
    <row r="7" ht="26.85" customHeight="1" s="37">
      <c r="A7" s="42" t="inlineStr">
        <is>
          <t>Freight rate per ton-km</t>
        </is>
      </c>
      <c r="B7" s="50" t="n">
        <v>8.5</v>
      </c>
      <c r="C7" s="42" t="inlineStr">
        <is>
          <t>Tk per ton-km</t>
        </is>
      </c>
      <c r="D7" s="49" t="inlineStr">
        <is>
          <t>Fitted together with the base fare above. Gives about Tk 42,000 for 10 t over 450 km, close to the Chattogram-North fare after the diesel hike.</t>
        </is>
      </c>
    </row>
    <row r="8" ht="39.55" customHeight="1" s="37">
      <c r="A8" s="42" t="inlineStr">
        <is>
          <t>Freight multiplier</t>
        </is>
      </c>
      <c r="B8" s="51" t="n">
        <v>1.5</v>
      </c>
      <c r="C8" s="42" t="inlineStr">
        <is>
          <t>x</t>
        </is>
      </c>
      <c r="D8" s="49" t="inlineStr">
        <is>
          <t>1.0 = real Bangladesh freight rates. At 1.0 a starter pickup needs about 30 real hours to pay for itself and the first hour has only 2 purchases, which is too slow. 1.5 is the chosen default: fares stay plausible while vehicle prices, diesel and tolls stay fully real.</t>
        </is>
      </c>
    </row>
    <row r="9" ht="26.85" customHeight="1" s="37">
      <c r="A9" s="42" t="inlineStr">
        <is>
          <t>Game minutes per real minute</t>
        </is>
      </c>
      <c r="B9" s="51" t="n">
        <v>60</v>
      </c>
      <c r="C9" s="42" t="inlineStr">
        <is>
          <t>x</t>
        </is>
      </c>
      <c r="D9" s="49" t="inlineStr">
        <is>
          <t>60 means 1 game hour passes in 1 real minute, so 1 game day = 24 real minutes. Dhaka-Chattogram takes about 9 real minutes.</t>
        </is>
      </c>
    </row>
    <row r="10" ht="26.85" customHeight="1" s="37">
      <c r="A10" s="42" t="inlineStr">
        <is>
          <t>Turbo Start phase 1 ends at</t>
        </is>
      </c>
      <c r="B10" s="52" t="n">
        <v>20</v>
      </c>
      <c r="C10" s="42" t="inlineStr">
        <is>
          <t>real minutes</t>
        </is>
      </c>
      <c r="D10" s="49" t="inlineStr">
        <is>
          <t>Truck Manager uses a Turbo Start that makes dispatches up to 200x quicker at the beginning. Ours tapers to avoid a sudden income cliff.</t>
        </is>
      </c>
    </row>
    <row r="11" ht="15" customHeight="1" s="37">
      <c r="A11" s="42" t="inlineStr">
        <is>
          <t>Turbo Start phase 1 speed</t>
        </is>
      </c>
      <c r="B11" s="51" t="n">
        <v>20</v>
      </c>
      <c r="C11" s="42" t="inlineStr">
        <is>
          <t>x</t>
        </is>
      </c>
      <c r="D11" s="49" t="inlineStr">
        <is>
          <t>Game design value.</t>
        </is>
      </c>
    </row>
    <row r="12" ht="15" customHeight="1" s="37">
      <c r="A12" s="42" t="inlineStr">
        <is>
          <t>Turbo Start phase 2 ends at</t>
        </is>
      </c>
      <c r="B12" s="52" t="n">
        <v>40</v>
      </c>
      <c r="C12" s="42" t="inlineStr">
        <is>
          <t>real minutes</t>
        </is>
      </c>
      <c r="D12" s="49" t="inlineStr">
        <is>
          <t>Game design value.</t>
        </is>
      </c>
    </row>
    <row r="13" ht="15" customHeight="1" s="37">
      <c r="A13" s="42" t="inlineStr">
        <is>
          <t>Turbo Start phase 2 speed</t>
        </is>
      </c>
      <c r="B13" s="51" t="n">
        <v>10</v>
      </c>
      <c r="C13" s="42" t="inlineStr">
        <is>
          <t>x</t>
        </is>
      </c>
      <c r="D13" s="49" t="inlineStr">
        <is>
          <t>Game design value.</t>
        </is>
      </c>
    </row>
    <row r="14" ht="15" customHeight="1" s="37">
      <c r="A14" s="42" t="inlineStr">
        <is>
          <t>Turbo Start phase 3 ends at</t>
        </is>
      </c>
      <c r="B14" s="52" t="n">
        <v>60</v>
      </c>
      <c r="C14" s="42" t="inlineStr">
        <is>
          <t>real minutes</t>
        </is>
      </c>
      <c r="D14" s="49" t="inlineStr">
        <is>
          <t>After this the game runs at 1x.</t>
        </is>
      </c>
    </row>
    <row r="15" ht="15" customHeight="1" s="37">
      <c r="A15" s="42" t="inlineStr">
        <is>
          <t>Turbo Start phase 3 speed</t>
        </is>
      </c>
      <c r="B15" s="51" t="n">
        <v>5</v>
      </c>
      <c r="C15" s="42" t="inlineStr">
        <is>
          <t>x</t>
        </is>
      </c>
      <c r="D15" s="49" t="inlineStr">
        <is>
          <t>Game design value.</t>
        </is>
      </c>
    </row>
    <row r="16" ht="15" customHeight="1" s="37">
      <c r="A16" s="42" t="inlineStr">
        <is>
          <t>Starting cash</t>
        </is>
      </c>
      <c r="B16" s="52" t="n">
        <v>1500000</v>
      </c>
      <c r="C16" s="42" t="inlineStr">
        <is>
          <t>Tk</t>
        </is>
      </c>
      <c r="D16" s="49" t="inlineStr">
        <is>
          <t>Game design value. Player also gets one free Sathi Plus pickup (tier 4).</t>
        </is>
      </c>
    </row>
    <row r="17" ht="15" customHeight="1" s="37">
      <c r="A17" s="42" t="inlineStr">
        <is>
          <t>Terminal price (first terminal)</t>
        </is>
      </c>
      <c r="B17" s="48" t="n">
        <v>800000</v>
      </c>
      <c r="C17" s="42" t="inlineStr">
        <is>
          <t>Tk</t>
        </is>
      </c>
      <c r="D17" s="49" t="inlineStr">
        <is>
          <t>Game design value. Unlocks line hauls from a second city.</t>
        </is>
      </c>
    </row>
    <row r="18" ht="15" customHeight="1" s="37">
      <c r="A18" s="42" t="inlineStr">
        <is>
          <t>Extra fuel per 100% overload</t>
        </is>
      </c>
      <c r="B18" s="53" t="n">
        <v>0.3</v>
      </c>
      <c r="C18" s="42" t="inlineStr">
        <is>
          <t>fraction</t>
        </is>
      </c>
      <c r="D18" s="49" t="inlineStr">
        <is>
          <t>Game value. 100% overload = carrying double the legal payload.</t>
        </is>
      </c>
    </row>
    <row r="19" ht="26.85" customHeight="1" s="37">
      <c r="A19" s="42" t="inlineStr">
        <is>
          <t>Extra wear per 100% overload</t>
        </is>
      </c>
      <c r="B19" s="53" t="n">
        <v>1.5</v>
      </c>
      <c r="C19" s="42" t="inlineStr">
        <is>
          <t>fraction</t>
        </is>
      </c>
      <c r="D19" s="49" t="inlineStr">
        <is>
          <t>Game value. Axle load damage grows fast; research notes road damage is about 4x at 22 t vs 15 t.</t>
        </is>
      </c>
    </row>
    <row r="20" ht="15" customHeight="1" s="37">
      <c r="A20" s="42" t="inlineStr">
        <is>
          <t>Chance of being checked at each weighbridge</t>
        </is>
      </c>
      <c r="B20" s="53" t="n">
        <v>0.35</v>
      </c>
      <c r="C20" s="42" t="inlineStr">
        <is>
          <t>probability</t>
        </is>
      </c>
      <c r="D20" s="49" t="inlineStr">
        <is>
          <t>Game value. Weighbridges exist at Sitakunda, Meghna toll plaza and Rustampur (research doc).</t>
        </is>
      </c>
    </row>
    <row r="21" ht="15" customHeight="1" s="37">
      <c r="A21" s="42" t="inlineStr">
        <is>
          <t>Overload fine, fixed part</t>
        </is>
      </c>
      <c r="B21" s="48" t="n">
        <v>5000</v>
      </c>
      <c r="C21" s="42" t="inlineStr">
        <is>
          <t>Tk</t>
        </is>
      </c>
      <c r="D21" s="49" t="inlineStr">
        <is>
          <t>Game value, not a legal figure.</t>
        </is>
      </c>
    </row>
    <row r="22" ht="15" customHeight="1" s="37">
      <c r="A22" s="42" t="inlineStr">
        <is>
          <t>Overload fine per extra ton</t>
        </is>
      </c>
      <c r="B22" s="48" t="n">
        <v>2000</v>
      </c>
      <c r="C22" s="42" t="inlineStr">
        <is>
          <t>Tk per ton</t>
        </is>
      </c>
      <c r="D22" s="49" t="inlineStr">
        <is>
          <t>Game value, not a legal figure.</t>
        </is>
      </c>
    </row>
    <row r="23" ht="15" customHeight="1" s="37">
      <c r="A23" s="42" t="inlineStr">
        <is>
          <t>Accident chance per 100 km, legal load</t>
        </is>
      </c>
      <c r="B23" s="54" t="n">
        <v>0.002</v>
      </c>
      <c r="C23" s="42" t="inlineStr">
        <is>
          <t>probability</t>
        </is>
      </c>
      <c r="D23" s="49" t="inlineStr">
        <is>
          <t>Game value (0.2% per 100 km driven).</t>
        </is>
      </c>
    </row>
    <row r="24" ht="15" customHeight="1" s="37">
      <c r="A24" s="42" t="inlineStr">
        <is>
          <t>Accident chance growth per 100% overload</t>
        </is>
      </c>
      <c r="B24" s="55" t="n">
        <v>4</v>
      </c>
      <c r="C24" s="42" t="inlineStr">
        <is>
          <t>x</t>
        </is>
      </c>
      <c r="D24" s="49" t="inlineStr">
        <is>
          <t>Game value. At 100% overload the accident chance is 5x the base.</t>
        </is>
      </c>
    </row>
    <row r="25" ht="15" customHeight="1" s="37">
      <c r="A25" s="42" t="inlineStr">
        <is>
          <t>Accident cost as share of vehicle price</t>
        </is>
      </c>
      <c r="B25" s="53" t="n">
        <v>0.1</v>
      </c>
      <c r="C25" s="42" t="inlineStr">
        <is>
          <t>fraction</t>
        </is>
      </c>
      <c r="D25" s="49" t="inlineStr">
        <is>
          <t>Game value. Repair, cargo claim and downtime together.</t>
        </is>
      </c>
    </row>
    <row r="26" ht="26.85" customHeight="1" s="37">
      <c r="A26" s="42" t="inlineStr">
        <is>
          <t>Maximum line haul distance</t>
        </is>
      </c>
      <c r="B26" s="48" t="n">
        <v>400</v>
      </c>
      <c r="C26" s="42" t="inlineStr">
        <is>
          <t>km</t>
        </is>
      </c>
      <c r="D26" s="49" t="inlineStr">
        <is>
          <t>Design rule copied from Truck Manager: line hauls run terminal to terminal up to 400 km. Longer trips become contracts (post-MVP).</t>
        </is>
      </c>
    </row>
    <row r="27" ht="26.85" customHeight="1" s="37">
      <c r="A27" s="42" t="inlineStr">
        <is>
          <t>Starting garage slots</t>
        </is>
      </c>
      <c r="B27" s="48" t="n">
        <v>6</v>
      </c>
      <c r="C27" s="42" t="inlineStr">
        <is>
          <t>vehicles</t>
        </is>
      </c>
      <c r="D27" s="49" t="inlineStr">
        <is>
          <t>Game design value. Counts the free Sathi Plus, so the player can buy 5 more. A purchase with no free slot is rejected. Slot expansion comes with terminals (Milestone 5). Keeps cheap vehicles from compounding without limit during Turbo Start.</t>
        </is>
      </c>
    </row>
    <row r="28" ht="26.85" customHeight="1" s="37">
      <c r="A28" s="42" t="inlineStr">
        <is>
          <t>Resale share of price</t>
        </is>
      </c>
      <c r="B28" s="53" t="n">
        <v>0.6</v>
      </c>
      <c r="C28" s="42" t="inlineStr">
        <is>
          <t>fraction</t>
        </is>
      </c>
      <c r="D28" s="49" t="inlineStr">
        <is>
          <t>Game design value. A vehicle sells for this share of its price, so buying and selling straight away loses the rest. A vehicle on the road cannot be sold: unassign it, let the trip finish, then sell.</t>
        </is>
      </c>
    </row>
    <row r="29" ht="26.85" customHeight="1" s="37">
      <c r="A29" s="42" t="inlineStr">
        <is>
          <t>Starter vehicle tier</t>
        </is>
      </c>
      <c r="B29" s="48" t="n">
        <v>4</v>
      </c>
      <c r="C29" s="42" t="inlineStr">
        <is>
          <t>tier</t>
        </is>
      </c>
      <c r="D29" s="49" t="inlineStr">
        <is>
          <t>Game design value. The free vehicle a new company starts with (tier 4, Sathi Plus). It counts toward the garage slots and starts unassigned. Must be a tier that is open from the start.</t>
        </is>
      </c>
    </row>
    <row r="30" ht="26.85" customHeight="1" s="37">
      <c r="A30" s="42" t="inlineStr">
        <is>
          <t>Starter vehicle sale value</t>
        </is>
      </c>
      <c r="B30" s="48" t="n">
        <v>150000</v>
      </c>
      <c r="C30" s="42" t="inlineStr">
        <is>
          <t>Tk</t>
        </is>
      </c>
      <c r="D30" s="49" t="inlineStr">
        <is>
          <t>Game design value. Selling the free starter vehicle pays this fixed amount, not the resale share of its price: it was free, so a normal resale (Tk 7.8 lakh for the Sathi Plus) would be extra starting cash. The last vehicle cannot be sold if the cash after the sale would not buy the cheapest vehicle the company can buy.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36" min="1" max="1"/>
    <col width="12" customWidth="1" style="36" min="2" max="2"/>
    <col width="15" customWidth="1" style="36" min="3" max="4"/>
    <col width="16" customWidth="1" style="36" min="5" max="5"/>
    <col width="15" customWidth="1" style="36" min="6" max="6"/>
  </cols>
  <sheetData>
    <row r="1" ht="17.35" customHeight="1" s="37">
      <c r="A1" s="38" t="inlineStr">
        <is>
          <t>Toll per crossing (Tk, one way)</t>
        </is>
      </c>
      <c r="B1" s="39" t="n"/>
      <c r="C1" s="39" t="n"/>
      <c r="D1" s="39" t="n"/>
      <c r="E1" s="39" t="n"/>
      <c r="F1" s="39" t="n"/>
    </row>
    <row r="2" ht="15" customHeight="1" s="37">
      <c r="A2" s="47" t="inlineStr">
        <is>
          <t>Padma: gazette rates, May 2022. Jamuna: Bridge Authority notice, Nov 2021. Meghna+Gumti and Paturia ferry are partly approximate (see comments).</t>
        </is>
      </c>
      <c r="B2" s="39" t="n"/>
      <c r="C2" s="39" t="n"/>
      <c r="D2" s="39" t="n"/>
      <c r="E2" s="39" t="n"/>
      <c r="F2" s="39" t="n"/>
    </row>
    <row r="3" ht="15" customHeight="1" s="37">
      <c r="A3" s="39" t="n"/>
      <c r="B3" s="39" t="n"/>
      <c r="C3" s="39" t="n"/>
      <c r="D3" s="39" t="n"/>
      <c r="E3" s="39" t="n"/>
      <c r="F3" s="39" t="n"/>
    </row>
    <row r="4" ht="45" customHeight="1" s="37">
      <c r="A4" s="45" t="inlineStr">
        <is>
          <t>Toll class</t>
        </is>
      </c>
      <c r="B4" s="45" t="inlineStr">
        <is>
          <t>None</t>
        </is>
      </c>
      <c r="C4" s="45" t="inlineStr">
        <is>
          <t>Padma Bridge</t>
        </is>
      </c>
      <c r="D4" s="45" t="inlineStr">
        <is>
          <t>Jamuna Bridge</t>
        </is>
      </c>
      <c r="E4" s="45" t="inlineStr">
        <is>
          <t>Meghna+Gumti</t>
        </is>
      </c>
      <c r="F4" s="45" t="inlineStr">
        <is>
          <t>Paturia Ferry</t>
        </is>
      </c>
    </row>
    <row r="5" ht="15" customHeight="1" s="37">
      <c r="A5" s="42" t="inlineStr">
        <is>
          <t>Not on highway</t>
        </is>
      </c>
      <c r="B5" s="48" t="n">
        <v>0</v>
      </c>
      <c r="C5" s="48" t="n">
        <v>0</v>
      </c>
      <c r="D5" s="48" t="n">
        <v>0</v>
      </c>
      <c r="E5" s="48" t="n">
        <v>0</v>
      </c>
      <c r="F5" s="48" t="n">
        <v>0</v>
      </c>
    </row>
    <row r="6" ht="15" customHeight="1" s="37">
      <c r="A6" s="42" t="inlineStr">
        <is>
          <t>Light</t>
        </is>
      </c>
      <c r="B6" s="48" t="n">
        <v>0</v>
      </c>
      <c r="C6" s="48" t="n">
        <v>1200</v>
      </c>
      <c r="D6" s="48" t="n">
        <v>600</v>
      </c>
      <c r="E6" s="48" t="n">
        <v>180</v>
      </c>
      <c r="F6" s="48" t="n">
        <v>600</v>
      </c>
    </row>
    <row r="7" ht="15" customHeight="1" s="37">
      <c r="A7" s="42" t="inlineStr">
        <is>
          <t>Small truck</t>
        </is>
      </c>
      <c r="B7" s="48" t="n">
        <v>0</v>
      </c>
      <c r="C7" s="48" t="n">
        <v>1600</v>
      </c>
      <c r="D7" s="48" t="n">
        <v>1000</v>
      </c>
      <c r="E7" s="48" t="n">
        <v>500</v>
      </c>
      <c r="F7" s="48" t="n">
        <v>740</v>
      </c>
    </row>
    <row r="8" ht="15" customHeight="1" s="37">
      <c r="A8" s="42" t="inlineStr">
        <is>
          <t>Medium truck</t>
        </is>
      </c>
      <c r="B8" s="48" t="n">
        <v>0</v>
      </c>
      <c r="C8" s="48" t="n">
        <v>2800</v>
      </c>
      <c r="D8" s="48" t="n">
        <v>1600</v>
      </c>
      <c r="E8" s="48" t="n">
        <v>800</v>
      </c>
      <c r="F8" s="48" t="n">
        <v>1460</v>
      </c>
    </row>
    <row r="9" ht="15" customHeight="1" s="37">
      <c r="A9" s="42" t="inlineStr">
        <is>
          <t>Big truck</t>
        </is>
      </c>
      <c r="B9" s="48" t="n">
        <v>0</v>
      </c>
      <c r="C9" s="48" t="n">
        <v>5500</v>
      </c>
      <c r="D9" s="48" t="n">
        <v>2000</v>
      </c>
      <c r="E9" s="48" t="n">
        <v>1000</v>
      </c>
      <c r="F9" s="48" t="n">
        <v>2000</v>
      </c>
    </row>
    <row r="10" ht="15" customHeight="1" s="37">
      <c r="A10" s="42" t="inlineStr">
        <is>
          <t>Trailer</t>
        </is>
      </c>
      <c r="B10" s="48" t="n">
        <v>0</v>
      </c>
      <c r="C10" s="48" t="n">
        <v>6000</v>
      </c>
      <c r="D10" s="48" t="n">
        <v>3000</v>
      </c>
      <c r="E10" s="48" t="n">
        <v>2500</v>
      </c>
      <c r="F10" s="48" t="n">
        <v>2800</v>
      </c>
    </row>
    <row r="11" ht="15" customHeight="1" s="37">
      <c r="A11" s="42" t="inlineStr">
        <is>
          <t>Trailer+1 axle</t>
        </is>
      </c>
      <c r="B11" s="48" t="n">
        <v>0</v>
      </c>
      <c r="C11" s="48" t="n">
        <v>7500</v>
      </c>
      <c r="D11" s="48" t="n">
        <v>4000</v>
      </c>
      <c r="E11" s="48" t="n">
        <v>3000</v>
      </c>
      <c r="F11" s="48" t="n">
        <v>3500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12" customWidth="1" style="36" min="2" max="2"/>
    <col width="14" customWidth="1" style="36" min="3" max="3"/>
    <col width="80" customWidth="1" style="36" min="4" max="4"/>
  </cols>
  <sheetData>
    <row r="1" ht="17.35" customHeight="1" s="37">
      <c r="A1" s="38" t="inlineStr">
        <is>
          <t>Cargo types</t>
        </is>
      </c>
      <c r="B1" s="39" t="n"/>
      <c r="C1" s="39" t="n"/>
      <c r="D1" s="39" t="n"/>
    </row>
    <row r="2" ht="15" customHeight="1" s="37">
      <c r="A2" s="39" t="n"/>
      <c r="B2" s="39" t="n"/>
      <c r="C2" s="39" t="n"/>
      <c r="D2" s="39" t="n"/>
    </row>
    <row r="3" ht="45" customHeight="1" s="37">
      <c r="A3" s="45" t="inlineStr">
        <is>
          <t>Cargo</t>
        </is>
      </c>
      <c r="B3" s="45" t="inlineStr">
        <is>
          <t>Rate factor</t>
        </is>
      </c>
      <c r="C3" s="45" t="inlineStr">
        <is>
          <t>Allowed tiers (comma separated, no spaces)</t>
        </is>
      </c>
      <c r="D3" s="45" t="inlineStr">
        <is>
          <t>Reasoning</t>
        </is>
      </c>
    </row>
    <row r="4" ht="15" customHeight="1" s="37">
      <c r="A4" s="42" t="inlineStr">
        <is>
          <t>Market goods</t>
        </is>
      </c>
      <c r="B4" s="56" t="n">
        <v>1.2</v>
      </c>
      <c r="C4" s="42" t="inlineStr">
        <is>
          <t>1,2</t>
        </is>
      </c>
      <c r="D4" s="42" t="inlineStr">
        <is>
          <t>Short bazaar runs.</t>
        </is>
      </c>
    </row>
    <row r="5" ht="15" customHeight="1" s="37">
      <c r="A5" s="42" t="inlineStr">
        <is>
          <t>Parcels</t>
        </is>
      </c>
      <c r="B5" s="56" t="n">
        <v>1.5</v>
      </c>
      <c r="C5" s="42" t="inlineStr">
        <is>
          <t>2,3,4,5</t>
        </is>
      </c>
      <c r="D5" s="42" t="inlineStr">
        <is>
          <t>E-commerce pays a premium for speed and small lots.</t>
        </is>
      </c>
    </row>
    <row r="6" ht="15" customHeight="1" s="37">
      <c r="A6" s="42" t="inlineStr">
        <is>
          <t>General dry</t>
        </is>
      </c>
      <c r="B6" s="56" t="n">
        <v>1</v>
      </c>
      <c r="C6" s="42" t="inlineStr">
        <is>
          <t>3,4,5,6,7,11</t>
        </is>
      </c>
      <c r="D6" s="42" t="inlineStr">
        <is>
          <t>Baseline. Tier 11 included so prime movers can haul general freight in the MVP. All fares are fitted to this.</t>
        </is>
      </c>
    </row>
    <row r="7" ht="15" customHeight="1" s="37">
      <c r="A7" s="42" t="inlineStr">
        <is>
          <t>Vegetables</t>
        </is>
      </c>
      <c r="B7" s="56" t="n">
        <v>1.2</v>
      </c>
      <c r="C7" s="42" t="inlineStr">
        <is>
          <t>3,4,5,6</t>
        </is>
      </c>
      <c r="D7" s="42" t="inlineStr">
        <is>
          <t>Perishable, from northern districts to Dhaka.</t>
        </is>
      </c>
    </row>
    <row r="8" ht="15" customHeight="1" s="37">
      <c r="A8" s="42" t="inlineStr">
        <is>
          <t>Garments</t>
        </is>
      </c>
      <c r="B8" s="56" t="n">
        <v>1.4</v>
      </c>
      <c r="C8" s="42" t="inlineStr">
        <is>
          <t>5,6,7</t>
        </is>
      </c>
      <c r="D8" s="42" t="inlineStr">
        <is>
          <t>Export deadline at the port. Missing it costs a penalty (later feature).</t>
        </is>
      </c>
    </row>
    <row r="9" ht="15" customHeight="1" s="37">
      <c r="A9" s="42" t="inlineStr">
        <is>
          <t>Rice</t>
        </is>
      </c>
      <c r="B9" s="56" t="n">
        <v>1</v>
      </c>
      <c r="C9" s="42" t="inlineStr">
        <is>
          <t>4,5,6,7</t>
        </is>
      </c>
      <c r="D9" s="42" t="inlineStr">
        <is>
          <t>Bulk, steady demand.</t>
        </is>
      </c>
    </row>
    <row r="10" ht="15" customHeight="1" s="37">
      <c r="A10" s="42" t="inlineStr">
        <is>
          <t>Cement and rod</t>
        </is>
      </c>
      <c r="B10" s="56" t="n">
        <v>0.9</v>
      </c>
      <c r="C10" s="42" t="inlineStr">
        <is>
          <t>6,9</t>
        </is>
      </c>
      <c r="D10" s="42" t="inlineStr">
        <is>
          <t>Heavy, low value per ton.</t>
        </is>
      </c>
    </row>
    <row r="11" ht="15" customHeight="1" s="37">
      <c r="A11" s="42" t="inlineStr">
        <is>
          <t>Sand and stone</t>
        </is>
      </c>
      <c r="B11" s="56" t="n">
        <v>0.9</v>
      </c>
      <c r="C11" s="42" t="inlineStr">
        <is>
          <t>9</t>
        </is>
      </c>
      <c r="D11" s="42" t="inlineStr">
        <is>
          <t>Heavy, low value per ton.</t>
        </is>
      </c>
    </row>
    <row r="12" ht="15" customHeight="1" s="37">
      <c r="A12" s="42" t="inlineStr">
        <is>
          <t>Fish</t>
        </is>
      </c>
      <c r="B12" s="56" t="n">
        <v>2.2</v>
      </c>
      <c r="C12" s="42" t="inlineStr">
        <is>
          <t>8</t>
        </is>
      </c>
      <c r="D12" s="42" t="inlineStr">
        <is>
          <t>Reefer only. Needs the cold chain license.</t>
        </is>
      </c>
    </row>
    <row r="13" ht="15" customHeight="1" s="37">
      <c r="A13" s="42" t="inlineStr">
        <is>
          <t>Fuel</t>
        </is>
      </c>
      <c r="B13" s="56" t="n">
        <v>1.2</v>
      </c>
      <c r="C13" s="42" t="inlineStr">
        <is>
          <t>10</t>
        </is>
      </c>
      <c r="D13" s="42" t="inlineStr">
        <is>
          <t>Hazardous. Needs a special license.</t>
        </is>
      </c>
    </row>
    <row r="14" ht="15" customHeight="1" s="37">
      <c r="A14" s="42" t="inlineStr">
        <is>
          <t>Containers</t>
        </is>
      </c>
      <c r="B14" s="56" t="n">
        <v>1.2</v>
      </c>
      <c r="C14" s="42" t="inlineStr">
        <is>
          <t>11</t>
        </is>
      </c>
      <c r="D14" s="42" t="inlineStr">
        <is>
          <t>Port to ICD and Dhaka.</t>
        </is>
      </c>
    </row>
    <row r="15" ht="15" customHeight="1" s="37">
      <c r="A15" s="42" t="inlineStr">
        <is>
          <t>Heavy machinery</t>
        </is>
      </c>
      <c r="B15" s="56" t="n">
        <v>1.2</v>
      </c>
      <c r="C15" s="42" t="inlineStr">
        <is>
          <t>12</t>
        </is>
      </c>
      <c r="D15" s="42" t="inlineStr">
        <is>
          <t>Low-bed only. Special permit.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V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6" min="1" max="1"/>
    <col width="16" customWidth="1" style="36" min="2" max="2"/>
    <col width="22" customWidth="1" style="36" min="3" max="3"/>
    <col width="10" customWidth="1" style="36" min="4" max="4"/>
    <col width="12" customWidth="1" style="36" min="5" max="5"/>
    <col width="10" customWidth="1" style="36" min="6" max="6"/>
    <col width="11" customWidth="1" style="36" min="7" max="7"/>
    <col width="10" customWidth="1" style="36" min="8" max="8"/>
    <col width="12" customWidth="1" style="36" min="9" max="9"/>
    <col width="10" customWidth="1" style="36" min="10" max="11"/>
    <col width="11" customWidth="1" style="36" min="12" max="12"/>
    <col width="12" customWidth="1" style="36" min="13" max="13"/>
    <col width="11" customWidth="1" style="36" min="14" max="14"/>
    <col width="10" customWidth="1" style="36" min="15" max="15"/>
    <col width="14" customWidth="1" style="36" min="16" max="16"/>
    <col width="10" customWidth="1" style="36" min="17" max="17"/>
    <col width="18" customWidth="1" style="36" min="18" max="18"/>
    <col width="11" customWidth="1" style="36" min="19" max="20"/>
    <col width="30" customWidth="1" style="36" min="21" max="21"/>
    <col width="30" customWidth="1" style="36" min="22" max="22"/>
  </cols>
  <sheetData>
    <row r="1" ht="17.35" customHeight="1" s="37">
      <c r="A1" s="38" t="inlineStr">
        <is>
          <t>Vehicle tiers</t>
        </is>
      </c>
      <c r="B1" s="39" t="n"/>
      <c r="C1" s="39" t="n"/>
      <c r="D1" s="39" t="n"/>
      <c r="E1" s="39" t="n"/>
      <c r="F1" s="39" t="n"/>
      <c r="G1" s="39" t="n"/>
      <c r="H1" s="39" t="n"/>
      <c r="I1" s="39" t="n"/>
      <c r="J1" s="39" t="n"/>
      <c r="K1" s="39" t="n"/>
      <c r="L1" s="39" t="n"/>
      <c r="M1" s="39" t="n"/>
      <c r="N1" s="39" t="n"/>
      <c r="O1" s="39" t="n"/>
      <c r="P1" s="39" t="n"/>
      <c r="Q1" s="39" t="n"/>
      <c r="R1" s="39" t="n"/>
      <c r="S1" s="39" t="n"/>
      <c r="T1" s="39" t="n"/>
    </row>
    <row r="2" ht="15" customHeight="1" s="37">
      <c r="A2" s="47" t="inlineStr">
        <is>
          <t>Prices from dealer listings (research doc, indicative). Speed, mileage, maintenance, wages and premiums are game values based on that research.</t>
        </is>
      </c>
      <c r="B2" s="39" t="n"/>
      <c r="C2" s="39" t="n"/>
      <c r="D2" s="39" t="n"/>
      <c r="E2" s="39" t="n"/>
      <c r="F2" s="39" t="n"/>
      <c r="G2" s="39" t="n"/>
      <c r="H2" s="39" t="n"/>
      <c r="I2" s="39" t="n"/>
      <c r="J2" s="39" t="n"/>
      <c r="K2" s="39" t="n"/>
      <c r="L2" s="39" t="n"/>
      <c r="M2" s="39" t="n"/>
      <c r="N2" s="39" t="n"/>
      <c r="O2" s="39" t="n"/>
      <c r="P2" s="39" t="n"/>
      <c r="Q2" s="39" t="n"/>
      <c r="R2" s="39" t="n"/>
      <c r="S2" s="39" t="n"/>
      <c r="T2" s="39" t="n"/>
    </row>
    <row r="3" ht="15" customHeight="1" s="37">
      <c r="A3" s="39" t="n"/>
      <c r="B3" s="39" t="n"/>
      <c r="C3" s="39" t="n"/>
      <c r="D3" s="39" t="n"/>
      <c r="E3" s="39" t="n"/>
      <c r="F3" s="39" t="n"/>
      <c r="G3" s="39" t="n"/>
      <c r="H3" s="39" t="n"/>
      <c r="I3" s="39" t="n"/>
      <c r="J3" s="39" t="n"/>
      <c r="K3" s="39" t="n"/>
      <c r="L3" s="39" t="n"/>
      <c r="M3" s="39" t="n"/>
      <c r="N3" s="39" t="n"/>
      <c r="O3" s="39" t="n"/>
      <c r="P3" s="39" t="n"/>
      <c r="Q3" s="39" t="n"/>
      <c r="R3" s="39" t="n"/>
      <c r="S3" s="39" t="n"/>
      <c r="T3" s="39" t="n"/>
    </row>
    <row r="4" ht="45" customHeight="1" s="37">
      <c r="A4" s="45" t="inlineStr">
        <is>
          <t>Tier</t>
        </is>
      </c>
      <c r="B4" s="45" t="inlineStr">
        <is>
          <t>Name (fictional)</t>
        </is>
      </c>
      <c r="C4" s="45" t="inlineStr">
        <is>
          <t>Real-world equivalent</t>
        </is>
      </c>
      <c r="D4" s="45" t="inlineStr">
        <is>
          <t>Price (lakh Tk)</t>
        </is>
      </c>
      <c r="E4" s="45" t="inlineStr">
        <is>
          <t>Price (Tk)</t>
        </is>
      </c>
      <c r="F4" s="45" t="inlineStr">
        <is>
          <t>Legal payload (t)</t>
        </is>
      </c>
      <c r="G4" s="45" t="inlineStr">
        <is>
          <t>Max load with overload (t)</t>
        </is>
      </c>
      <c r="H4" s="45" t="inlineStr">
        <is>
          <t>Highway speed (km/h)</t>
        </is>
      </c>
      <c r="I4" s="45" t="inlineStr">
        <is>
          <t>Mileage (km/L, 0 = not diesel)</t>
        </is>
      </c>
      <c r="J4" s="45" t="inlineStr">
        <is>
          <t>Other energy (Tk/km)</t>
        </is>
      </c>
      <c r="K4" s="45" t="inlineStr">
        <is>
          <t>Energy cost (Tk/km)</t>
        </is>
      </c>
      <c r="L4" s="45" t="inlineStr">
        <is>
          <t>Maintenance (Tk/km)</t>
        </is>
      </c>
      <c r="M4" s="45" t="inlineStr">
        <is>
          <t>Crew wage (Tk per game hour)</t>
        </is>
      </c>
      <c r="N4" s="45" t="inlineStr">
        <is>
          <t>Load + unload time (game h)</t>
        </is>
      </c>
      <c r="O4" s="45" t="inlineStr">
        <is>
          <t>Small-load premium</t>
        </is>
      </c>
      <c r="P4" s="45" t="inlineStr">
        <is>
          <t>Toll class</t>
        </is>
      </c>
      <c r="Q4" s="45" t="inlineStr">
        <is>
          <t>Allowed on highway?</t>
        </is>
      </c>
      <c r="R4" s="45" t="inlineStr">
        <is>
          <t>Unlock: operating permit id (blank = none, see Operating Permits sheet)</t>
        </is>
      </c>
      <c r="S4" s="45" t="inlineStr">
        <is>
          <t>Target payback min (real h)</t>
        </is>
      </c>
      <c r="T4" s="45" t="inlineStr">
        <is>
          <t>Target payback max (real h)</t>
        </is>
      </c>
      <c r="U4" s="45" t="inlineStr">
        <is>
          <t>Allowed routes (comma separated, no spaces, blank = any route)</t>
        </is>
      </c>
      <c r="V4" s="45" t="inlineStr">
        <is>
          <t>Unlock: deliveries needed (0 = none)</t>
        </is>
      </c>
    </row>
    <row r="5" ht="15" customHeight="1" s="37">
      <c r="A5" s="42" t="n">
        <v>1</v>
      </c>
      <c r="B5" s="42" t="inlineStr">
        <is>
          <t>Sonar Van</t>
        </is>
      </c>
      <c r="C5" s="42" t="inlineStr">
        <is>
          <t>Pedal van</t>
        </is>
      </c>
      <c r="D5" s="57" t="n">
        <v>0.2</v>
      </c>
      <c r="E5" s="58">
        <f>D5*100000</f>
        <v/>
      </c>
      <c r="F5" s="50" t="n">
        <v>0.3</v>
      </c>
      <c r="G5" s="50" t="n">
        <v>0.5</v>
      </c>
      <c r="H5" s="59" t="n">
        <v>8</v>
      </c>
      <c r="I5" s="60" t="n">
        <v>0</v>
      </c>
      <c r="J5" s="61" t="n">
        <v>0</v>
      </c>
      <c r="K5" s="62">
        <f>IF(I5&gt;0,Settings!$B$5/I5,J5)</f>
        <v/>
      </c>
      <c r="L5" s="57" t="n">
        <v>0.2</v>
      </c>
      <c r="M5" s="48" t="n">
        <v>50</v>
      </c>
      <c r="N5" s="60" t="n">
        <v>0.3</v>
      </c>
      <c r="O5" s="56" t="n">
        <v>2.5</v>
      </c>
      <c r="P5" s="59" t="inlineStr">
        <is>
          <t>Not on highway</t>
        </is>
      </c>
      <c r="Q5" s="59" t="inlineStr">
        <is>
          <t>No</t>
        </is>
      </c>
      <c r="R5" s="59" t="n"/>
      <c r="S5" s="63" t="n">
        <v>0.5</v>
      </c>
      <c r="T5" s="63" t="n">
        <v>5</v>
      </c>
      <c r="U5" s="59" t="inlineStr">
        <is>
          <t>M01,M02</t>
        </is>
      </c>
      <c r="V5" s="48" t="n">
        <v>0</v>
      </c>
    </row>
    <row r="6" ht="15" customHeight="1" s="37">
      <c r="A6" s="42" t="n">
        <v>2</v>
      </c>
      <c r="B6" s="42" t="inlineStr">
        <is>
          <t>Bijli Cargo</t>
        </is>
      </c>
      <c r="C6" s="42" t="inlineStr">
        <is>
          <t>Battery cargo 3-wheeler</t>
        </is>
      </c>
      <c r="D6" s="57" t="n">
        <v>1.5</v>
      </c>
      <c r="E6" s="58">
        <f>D6*100000</f>
        <v/>
      </c>
      <c r="F6" s="50" t="n">
        <v>0.5</v>
      </c>
      <c r="G6" s="50" t="n">
        <v>0.8</v>
      </c>
      <c r="H6" s="59" t="n">
        <v>20</v>
      </c>
      <c r="I6" s="60" t="n">
        <v>0</v>
      </c>
      <c r="J6" s="61" t="n">
        <v>1.5</v>
      </c>
      <c r="K6" s="62">
        <f>IF(I6&gt;0,Settings!$B$5/I6,J6)</f>
        <v/>
      </c>
      <c r="L6" s="57" t="n">
        <v>0.5</v>
      </c>
      <c r="M6" s="48" t="n">
        <v>60</v>
      </c>
      <c r="N6" s="60" t="n">
        <v>0.3</v>
      </c>
      <c r="O6" s="56" t="n">
        <v>2.7</v>
      </c>
      <c r="P6" s="59" t="inlineStr">
        <is>
          <t>Not on highway</t>
        </is>
      </c>
      <c r="Q6" s="59" t="inlineStr">
        <is>
          <t>No</t>
        </is>
      </c>
      <c r="R6" s="59" t="n"/>
      <c r="S6" s="63" t="n">
        <v>1</v>
      </c>
      <c r="T6" s="63" t="n">
        <v>10</v>
      </c>
      <c r="U6" s="59" t="n"/>
      <c r="V6" s="48" t="n">
        <v>0</v>
      </c>
    </row>
    <row r="7" ht="15" customHeight="1" s="37">
      <c r="A7" s="42" t="n">
        <v>3</v>
      </c>
      <c r="B7" s="42" t="inlineStr">
        <is>
          <t>Tuntuni Mini</t>
        </is>
      </c>
      <c r="C7" s="42" t="inlineStr">
        <is>
          <t>Tata Ace class</t>
        </is>
      </c>
      <c r="D7" s="57" t="n">
        <v>10</v>
      </c>
      <c r="E7" s="58">
        <f>D7*100000</f>
        <v/>
      </c>
      <c r="F7" s="50" t="n">
        <v>0.8</v>
      </c>
      <c r="G7" s="50" t="n">
        <v>1.5</v>
      </c>
      <c r="H7" s="59" t="n">
        <v>45</v>
      </c>
      <c r="I7" s="60" t="n">
        <v>15</v>
      </c>
      <c r="J7" s="61" t="n">
        <v>0</v>
      </c>
      <c r="K7" s="62">
        <f>IF(I7&gt;0,Settings!$B$5/I7,J7)</f>
        <v/>
      </c>
      <c r="L7" s="57" t="n">
        <v>1.5</v>
      </c>
      <c r="M7" s="48" t="n">
        <v>70</v>
      </c>
      <c r="N7" s="60" t="n">
        <v>0.5</v>
      </c>
      <c r="O7" s="56" t="n">
        <v>3</v>
      </c>
      <c r="P7" s="59" t="inlineStr">
        <is>
          <t>Light</t>
        </is>
      </c>
      <c r="Q7" s="59" t="inlineStr">
        <is>
          <t>Yes</t>
        </is>
      </c>
      <c r="R7" s="59" t="n"/>
      <c r="S7" s="63" t="n">
        <v>5</v>
      </c>
      <c r="T7" s="63" t="n">
        <v>30</v>
      </c>
      <c r="U7" s="59" t="n"/>
      <c r="V7" s="48" t="n">
        <v>5</v>
      </c>
    </row>
    <row r="8" ht="15" customHeight="1" s="37">
      <c r="A8" s="42" t="n">
        <v>4</v>
      </c>
      <c r="B8" s="42" t="inlineStr">
        <is>
          <t>Sathi Plus</t>
        </is>
      </c>
      <c r="C8" s="42" t="inlineStr">
        <is>
          <t>1.5 t pickup (Dost class)</t>
        </is>
      </c>
      <c r="D8" s="57" t="n">
        <v>13</v>
      </c>
      <c r="E8" s="58">
        <f>D8*100000</f>
        <v/>
      </c>
      <c r="F8" s="50" t="n">
        <v>1.5</v>
      </c>
      <c r="G8" s="50" t="n">
        <v>3</v>
      </c>
      <c r="H8" s="59" t="n">
        <v>50</v>
      </c>
      <c r="I8" s="60" t="n">
        <v>12</v>
      </c>
      <c r="J8" s="61" t="n">
        <v>0</v>
      </c>
      <c r="K8" s="62">
        <f>IF(I8&gt;0,Settings!$B$5/I8,J8)</f>
        <v/>
      </c>
      <c r="L8" s="57" t="n">
        <v>2</v>
      </c>
      <c r="M8" s="48" t="n">
        <v>80</v>
      </c>
      <c r="N8" s="60" t="n">
        <v>0.5</v>
      </c>
      <c r="O8" s="56" t="n">
        <v>2.8</v>
      </c>
      <c r="P8" s="59" t="inlineStr">
        <is>
          <t>Light</t>
        </is>
      </c>
      <c r="Q8" s="59" t="inlineStr">
        <is>
          <t>Yes</t>
        </is>
      </c>
      <c r="R8" s="59" t="n"/>
      <c r="S8" s="63" t="n">
        <v>5</v>
      </c>
      <c r="T8" s="63" t="n">
        <v>30</v>
      </c>
      <c r="U8" s="59" t="n"/>
      <c r="V8" s="48" t="n">
        <v>0</v>
      </c>
    </row>
    <row r="9" ht="15" customHeight="1" s="37">
      <c r="A9" s="42" t="n">
        <v>5</v>
      </c>
      <c r="B9" s="42" t="inlineStr">
        <is>
          <t>Meghna 14</t>
        </is>
      </c>
      <c r="C9" s="42" t="inlineStr">
        <is>
          <t>14 ft covered van</t>
        </is>
      </c>
      <c r="D9" s="57" t="n">
        <v>25</v>
      </c>
      <c r="E9" s="58">
        <f>D9*100000</f>
        <v/>
      </c>
      <c r="F9" s="50" t="n">
        <v>4</v>
      </c>
      <c r="G9" s="50" t="n">
        <v>7</v>
      </c>
      <c r="H9" s="59" t="n">
        <v>45</v>
      </c>
      <c r="I9" s="60" t="n">
        <v>8</v>
      </c>
      <c r="J9" s="61" t="n">
        <v>0</v>
      </c>
      <c r="K9" s="62">
        <f>IF(I9&gt;0,Settings!$B$5/I9,J9)</f>
        <v/>
      </c>
      <c r="L9" s="57" t="n">
        <v>3</v>
      </c>
      <c r="M9" s="48" t="n">
        <v>110</v>
      </c>
      <c r="N9" s="60" t="n">
        <v>1</v>
      </c>
      <c r="O9" s="56" t="n">
        <v>1.6</v>
      </c>
      <c r="P9" s="59" t="inlineStr">
        <is>
          <t>Small truck</t>
        </is>
      </c>
      <c r="Q9" s="59" t="inlineStr">
        <is>
          <t>Yes</t>
        </is>
      </c>
      <c r="R9" s="59" t="inlineStr">
        <is>
          <t>light</t>
        </is>
      </c>
      <c r="S9" s="63" t="n">
        <v>10</v>
      </c>
      <c r="T9" s="63" t="n">
        <v>40</v>
      </c>
      <c r="U9" s="59" t="n"/>
      <c r="V9" s="48" t="n">
        <v>0</v>
      </c>
    </row>
    <row r="10" ht="15" customHeight="1" s="37">
      <c r="A10" s="42" t="n">
        <v>6</v>
      </c>
      <c r="B10" s="42" t="inlineStr">
        <is>
          <t>Jamuna Open</t>
        </is>
      </c>
      <c r="C10" s="42" t="inlineStr">
        <is>
          <t>6-wheel truck (LPT 1615 class)</t>
        </is>
      </c>
      <c r="D10" s="57" t="n">
        <v>32</v>
      </c>
      <c r="E10" s="58">
        <f>D10*100000</f>
        <v/>
      </c>
      <c r="F10" s="50" t="n">
        <v>10</v>
      </c>
      <c r="G10" s="50" t="n">
        <v>22</v>
      </c>
      <c r="H10" s="59" t="n">
        <v>40</v>
      </c>
      <c r="I10" s="60" t="n">
        <v>4.5</v>
      </c>
      <c r="J10" s="61" t="n">
        <v>0</v>
      </c>
      <c r="K10" s="62">
        <f>IF(I10&gt;0,Settings!$B$5/I10,J10)</f>
        <v/>
      </c>
      <c r="L10" s="57" t="n">
        <v>4</v>
      </c>
      <c r="M10" s="48" t="n">
        <v>160</v>
      </c>
      <c r="N10" s="60" t="n">
        <v>2</v>
      </c>
      <c r="O10" s="56" t="n">
        <v>1</v>
      </c>
      <c r="P10" s="59" t="inlineStr">
        <is>
          <t>Medium truck</t>
        </is>
      </c>
      <c r="Q10" s="59" t="inlineStr">
        <is>
          <t>Yes</t>
        </is>
      </c>
      <c r="R10" s="59" t="inlineStr">
        <is>
          <t>medium</t>
        </is>
      </c>
      <c r="S10" s="63" t="n">
        <v>10</v>
      </c>
      <c r="T10" s="63" t="n">
        <v>40</v>
      </c>
      <c r="U10" s="59" t="n"/>
      <c r="V10" s="48" t="n">
        <v>0</v>
      </c>
    </row>
    <row r="11" ht="15" customHeight="1" s="37">
      <c r="A11" s="42" t="n">
        <v>7</v>
      </c>
      <c r="B11" s="42" t="inlineStr">
        <is>
          <t>Karnaphuli 20</t>
        </is>
      </c>
      <c r="C11" s="42" t="inlineStr">
        <is>
          <t>20-23 ft covered van</t>
        </is>
      </c>
      <c r="D11" s="57" t="n">
        <v>35</v>
      </c>
      <c r="E11" s="58">
        <f>D11*100000</f>
        <v/>
      </c>
      <c r="F11" s="50" t="n">
        <v>10</v>
      </c>
      <c r="G11" s="50" t="n">
        <v>18</v>
      </c>
      <c r="H11" s="59" t="n">
        <v>40</v>
      </c>
      <c r="I11" s="60" t="n">
        <v>4.5</v>
      </c>
      <c r="J11" s="61" t="n">
        <v>0</v>
      </c>
      <c r="K11" s="62">
        <f>IF(I11&gt;0,Settings!$B$5/I11,J11)</f>
        <v/>
      </c>
      <c r="L11" s="57" t="n">
        <v>4.5</v>
      </c>
      <c r="M11" s="48" t="n">
        <v>160</v>
      </c>
      <c r="N11" s="60" t="n">
        <v>2</v>
      </c>
      <c r="O11" s="56" t="n">
        <v>1.05</v>
      </c>
      <c r="P11" s="59" t="inlineStr">
        <is>
          <t>Medium truck</t>
        </is>
      </c>
      <c r="Q11" s="59" t="inlineStr">
        <is>
          <t>Yes</t>
        </is>
      </c>
      <c r="R11" s="59" t="inlineStr">
        <is>
          <t>medium</t>
        </is>
      </c>
      <c r="S11" s="63" t="n">
        <v>10</v>
      </c>
      <c r="T11" s="63" t="n">
        <v>40</v>
      </c>
      <c r="U11" s="59" t="n"/>
      <c r="V11" s="48" t="n">
        <v>0</v>
      </c>
    </row>
    <row r="12" ht="15" customHeight="1" s="37">
      <c r="A12" s="42" t="n">
        <v>8</v>
      </c>
      <c r="B12" s="42" t="inlineStr">
        <is>
          <t>Himaloy Reefer</t>
        </is>
      </c>
      <c r="C12" s="42" t="inlineStr">
        <is>
          <t>Freezer van</t>
        </is>
      </c>
      <c r="D12" s="57" t="n">
        <v>45</v>
      </c>
      <c r="E12" s="58">
        <f>D12*100000</f>
        <v/>
      </c>
      <c r="F12" s="50" t="n">
        <v>6</v>
      </c>
      <c r="G12" s="50" t="n">
        <v>7</v>
      </c>
      <c r="H12" s="59" t="n">
        <v>40</v>
      </c>
      <c r="I12" s="60" t="n">
        <v>3.5</v>
      </c>
      <c r="J12" s="61" t="n">
        <v>0</v>
      </c>
      <c r="K12" s="62">
        <f>IF(I12&gt;0,Settings!$B$5/I12,J12)</f>
        <v/>
      </c>
      <c r="L12" s="57" t="n">
        <v>6</v>
      </c>
      <c r="M12" s="48" t="n">
        <v>180</v>
      </c>
      <c r="N12" s="60" t="n">
        <v>2</v>
      </c>
      <c r="O12" s="56" t="n">
        <v>1</v>
      </c>
      <c r="P12" s="59" t="inlineStr">
        <is>
          <t>Medium truck</t>
        </is>
      </c>
      <c r="Q12" s="59" t="inlineStr">
        <is>
          <t>Yes</t>
        </is>
      </c>
      <c r="R12" s="59" t="inlineStr">
        <is>
          <t>coldchain</t>
        </is>
      </c>
      <c r="S12" s="63" t="n">
        <v>10</v>
      </c>
      <c r="T12" s="63" t="n">
        <v>40</v>
      </c>
      <c r="U12" s="59" t="n"/>
      <c r="V12" s="48" t="n">
        <v>0</v>
      </c>
    </row>
    <row r="13" ht="15" customHeight="1" s="37">
      <c r="A13" s="42" t="n">
        <v>9</v>
      </c>
      <c r="B13" s="42" t="inlineStr">
        <is>
          <t>Pahari Tipper</t>
        </is>
      </c>
      <c r="C13" s="42" t="inlineStr">
        <is>
          <t>10-wheel tipper</t>
        </is>
      </c>
      <c r="D13" s="57" t="n">
        <v>60</v>
      </c>
      <c r="E13" s="58">
        <f>D13*100000</f>
        <v/>
      </c>
      <c r="F13" s="50" t="n">
        <v>18</v>
      </c>
      <c r="G13" s="50" t="n">
        <v>30</v>
      </c>
      <c r="H13" s="59" t="n">
        <v>30</v>
      </c>
      <c r="I13" s="60" t="n">
        <v>3</v>
      </c>
      <c r="J13" s="61" t="n">
        <v>0</v>
      </c>
      <c r="K13" s="62">
        <f>IF(I13&gt;0,Settings!$B$5/I13,J13)</f>
        <v/>
      </c>
      <c r="L13" s="57" t="n">
        <v>7</v>
      </c>
      <c r="M13" s="48" t="n">
        <v>170</v>
      </c>
      <c r="N13" s="60" t="n">
        <v>1.5</v>
      </c>
      <c r="O13" s="56" t="n">
        <v>1.2</v>
      </c>
      <c r="P13" s="59" t="inlineStr">
        <is>
          <t>Big truck</t>
        </is>
      </c>
      <c r="Q13" s="59" t="inlineStr">
        <is>
          <t>Yes</t>
        </is>
      </c>
      <c r="R13" s="59" t="inlineStr">
        <is>
          <t>heavy</t>
        </is>
      </c>
      <c r="S13" s="63" t="n">
        <v>20</v>
      </c>
      <c r="T13" s="63" t="n">
        <v>80</v>
      </c>
      <c r="U13" s="59" t="n"/>
      <c r="V13" s="48" t="n">
        <v>0</v>
      </c>
    </row>
    <row r="14" ht="15" customHeight="1" s="37">
      <c r="A14" s="42" t="n">
        <v>10</v>
      </c>
      <c r="B14" s="42" t="inlineStr">
        <is>
          <t>Telrani</t>
        </is>
      </c>
      <c r="C14" s="42" t="inlineStr">
        <is>
          <t>Fuel tanker</t>
        </is>
      </c>
      <c r="D14" s="57" t="n">
        <v>50</v>
      </c>
      <c r="E14" s="58">
        <f>D14*100000</f>
        <v/>
      </c>
      <c r="F14" s="50" t="n">
        <v>12.75</v>
      </c>
      <c r="G14" s="50" t="n">
        <v>12.75</v>
      </c>
      <c r="H14" s="59" t="n">
        <v>35</v>
      </c>
      <c r="I14" s="60" t="n">
        <v>3.5</v>
      </c>
      <c r="J14" s="61" t="n">
        <v>0</v>
      </c>
      <c r="K14" s="62">
        <f>IF(I14&gt;0,Settings!$B$5/I14,J14)</f>
        <v/>
      </c>
      <c r="L14" s="57" t="n">
        <v>6</v>
      </c>
      <c r="M14" s="48" t="n">
        <v>200</v>
      </c>
      <c r="N14" s="60" t="n">
        <v>1.5</v>
      </c>
      <c r="O14" s="56" t="n">
        <v>1</v>
      </c>
      <c r="P14" s="59" t="inlineStr">
        <is>
          <t>Big truck</t>
        </is>
      </c>
      <c r="Q14" s="59" t="inlineStr">
        <is>
          <t>Yes</t>
        </is>
      </c>
      <c r="R14" s="59" t="inlineStr">
        <is>
          <t>hazmat</t>
        </is>
      </c>
      <c r="S14" s="63" t="n">
        <v>20</v>
      </c>
      <c r="T14" s="63" t="n">
        <v>80</v>
      </c>
      <c r="U14" s="59" t="n"/>
      <c r="V14" s="48" t="n">
        <v>0</v>
      </c>
    </row>
    <row r="15" ht="15" customHeight="1" s="37">
      <c r="A15" s="42" t="n">
        <v>11</v>
      </c>
      <c r="B15" s="42" t="inlineStr">
        <is>
          <t>Bongo Mover 40</t>
        </is>
      </c>
      <c r="C15" s="42" t="inlineStr">
        <is>
          <t>Prime mover + 40 ft trailer</t>
        </is>
      </c>
      <c r="D15" s="57" t="n">
        <v>65</v>
      </c>
      <c r="E15" s="58">
        <f>D15*100000</f>
        <v/>
      </c>
      <c r="F15" s="50" t="n">
        <v>28</v>
      </c>
      <c r="G15" s="50" t="n">
        <v>35</v>
      </c>
      <c r="H15" s="59" t="n">
        <v>35</v>
      </c>
      <c r="I15" s="60" t="n">
        <v>2.5</v>
      </c>
      <c r="J15" s="61" t="n">
        <v>0</v>
      </c>
      <c r="K15" s="62">
        <f>IF(I15&gt;0,Settings!$B$5/I15,J15)</f>
        <v/>
      </c>
      <c r="L15" s="57" t="n">
        <v>9</v>
      </c>
      <c r="M15" s="48" t="n">
        <v>220</v>
      </c>
      <c r="N15" s="60" t="n">
        <v>2.5</v>
      </c>
      <c r="O15" s="56" t="n">
        <v>0.6</v>
      </c>
      <c r="P15" s="59" t="inlineStr">
        <is>
          <t>Trailer</t>
        </is>
      </c>
      <c r="Q15" s="59" t="inlineStr">
        <is>
          <t>Yes</t>
        </is>
      </c>
      <c r="R15" s="59" t="inlineStr">
        <is>
          <t>heavy</t>
        </is>
      </c>
      <c r="S15" s="63" t="n">
        <v>20</v>
      </c>
      <c r="T15" s="63" t="n">
        <v>80</v>
      </c>
      <c r="U15" s="59" t="n"/>
      <c r="V15" s="48" t="n">
        <v>0</v>
      </c>
    </row>
    <row r="16" ht="15" customHeight="1" s="37">
      <c r="A16" s="42" t="n">
        <v>12</v>
      </c>
      <c r="B16" s="42" t="inlineStr">
        <is>
          <t>Hati Lowbed</t>
        </is>
      </c>
      <c r="C16" s="42" t="inlineStr">
        <is>
          <t>Low-bed trailer</t>
        </is>
      </c>
      <c r="D16" s="57" t="n">
        <v>80</v>
      </c>
      <c r="E16" s="58">
        <f>D16*100000</f>
        <v/>
      </c>
      <c r="F16" s="50" t="n">
        <v>40</v>
      </c>
      <c r="G16" s="50" t="n">
        <v>40</v>
      </c>
      <c r="H16" s="59" t="n">
        <v>25</v>
      </c>
      <c r="I16" s="60" t="n">
        <v>2</v>
      </c>
      <c r="J16" s="61" t="n">
        <v>0</v>
      </c>
      <c r="K16" s="62">
        <f>IF(I16&gt;0,Settings!$B$5/I16,J16)</f>
        <v/>
      </c>
      <c r="L16" s="57" t="n">
        <v>12</v>
      </c>
      <c r="M16" s="48" t="n">
        <v>260</v>
      </c>
      <c r="N16" s="60" t="n">
        <v>3</v>
      </c>
      <c r="O16" s="56" t="n">
        <v>0.6</v>
      </c>
      <c r="P16" s="59" t="inlineStr">
        <is>
          <t>Trailer+1 axle</t>
        </is>
      </c>
      <c r="Q16" s="59" t="inlineStr">
        <is>
          <t>Yes</t>
        </is>
      </c>
      <c r="R16" s="59" t="inlineStr">
        <is>
          <t>heavy</t>
        </is>
      </c>
      <c r="S16" s="63" t="n">
        <v>20</v>
      </c>
      <c r="T16" s="63" t="n">
        <v>80</v>
      </c>
      <c r="U16" s="59" t="n"/>
      <c r="V16" s="48"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4" customWidth="1" style="37" min="1" max="1"/>
    <col width="22" customWidth="1" style="37" min="2" max="2"/>
    <col width="14" customWidth="1" style="37" min="3" max="3"/>
    <col width="20" customWidth="1" style="37" min="4" max="4"/>
    <col width="12" customWidth="1" style="37" min="5" max="5"/>
    <col width="16" customWidth="1" style="37" min="6" max="6"/>
    <col width="22" customWidth="1" style="37" min="7" max="7"/>
    <col width="16" customWidth="1" style="37" min="8" max="8"/>
    <col width="14" customWidth="1" style="37" min="9" max="9"/>
    <col width="70" customWidth="1" style="37" min="10" max="10"/>
  </cols>
  <sheetData>
    <row r="1" ht="17.35" customHeight="1" s="37">
      <c r="A1" s="38" t="inlineStr">
        <is>
          <t>Operating permits</t>
        </is>
      </c>
    </row>
    <row r="2">
      <c r="A2" s="39" t="inlineStr">
        <is>
          <t>One-time Taka purchases. A vehicle with an unlock permit id in the Vehicles sheet (column R) needs that permit; tier 3 needs deliveries instead (column V).</t>
        </is>
      </c>
    </row>
    <row r="3" ht="60" customHeight="1" s="37">
      <c r="A3" s="45" t="inlineStr">
        <is>
          <t>Permit id</t>
        </is>
      </c>
      <c r="B3" s="45" t="inlineStr">
        <is>
          <t>Name</t>
        </is>
      </c>
      <c r="C3" s="45" t="inlineStr">
        <is>
          <t>Price (Tk)</t>
        </is>
      </c>
      <c r="D3" s="45" t="inlineStr">
        <is>
          <t>Unlocks tiers (comma separated, no spaces)</t>
        </is>
      </c>
      <c r="E3" s="45" t="inlineStr">
        <is>
          <t>Cheapest unlocked tier</t>
        </is>
      </c>
      <c r="F3" s="45" t="inlineStr">
        <is>
          <t>Permit price as share of that vehicle's price</t>
        </is>
      </c>
      <c r="G3" s="45" t="inlineStr">
        <is>
          <t>Payback of that vehicle without the permit (real h, typical route)</t>
        </is>
      </c>
      <c r="H3" s="45" t="inlineStr">
        <is>
          <t>Payback with the permit (real h)</t>
        </is>
      </c>
      <c r="I3" s="45" t="inlineStr">
        <is>
          <t>Target payback max (real h)</t>
        </is>
      </c>
      <c r="J3" s="45" t="inlineStr">
        <is>
          <t>Reasoning</t>
        </is>
      </c>
    </row>
    <row r="4" ht="30" customHeight="1" s="37">
      <c r="A4" s="59" t="inlineStr">
        <is>
          <t>light</t>
        </is>
      </c>
      <c r="B4" s="59" t="inlineStr">
        <is>
          <t>Light operating permit</t>
        </is>
      </c>
      <c r="C4" s="52" t="n">
        <v>400000</v>
      </c>
      <c r="D4" s="59" t="inlineStr">
        <is>
          <t>5</t>
        </is>
      </c>
      <c r="E4" s="48" t="n">
        <v>5</v>
      </c>
      <c r="F4" s="42">
        <f>ROUND(C4/INDEX(Vehicles!$E$5:$E$16,MATCH(E4,Vehicles!$A$5:$A$16,0)),3)</f>
        <v/>
      </c>
      <c r="G4" s="42">
        <f>ROUND(INDEX(Vehicles!$E$5:$E$16,MATCH(E4,Vehicles!$A$5:$A$16,0))/INDEX('Trip Calculator'!$Z$5:$Z$16,MATCH(E4,'Trip Calculator'!$B$5:$B$16,0)),1)</f>
        <v/>
      </c>
      <c r="H4" s="42">
        <f>ROUND((INDEX(Vehicles!$E$5:$E$16,MATCH(E4,Vehicles!$A$5:$A$16,0))+C4)/INDEX('Trip Calculator'!$Z$5:$Z$16,MATCH(E4,'Trip Calculator'!$B$5:$B$16,0)),1)</f>
        <v/>
      </c>
      <c r="I4" s="42">
        <f>INDEX(Vehicles!$T$5:$T$16,MATCH(E4,Vehicles!$A$5:$A$16,0))</f>
        <v/>
      </c>
      <c r="J4" s="49" t="inlineStr">
        <is>
          <t>Confirmed price: about 15 to 17 percent of the cheapest vehicle it unlocks. It adds about 2 to 5.5 real hours to that vehicle's payback at 1x (columns G and H, typical route) and keeps it inside its target range. One-time purchase in Taka, never a premium currency.</t>
        </is>
      </c>
    </row>
    <row r="5" ht="30" customHeight="1" s="37">
      <c r="A5" s="59" t="inlineStr">
        <is>
          <t>medium</t>
        </is>
      </c>
      <c r="B5" s="59" t="inlineStr">
        <is>
          <t>Medium operating permit</t>
        </is>
      </c>
      <c r="C5" s="52" t="n">
        <v>500000</v>
      </c>
      <c r="D5" s="59" t="inlineStr">
        <is>
          <t>6,7</t>
        </is>
      </c>
      <c r="E5" s="48" t="n">
        <v>6</v>
      </c>
      <c r="F5" s="42">
        <f>ROUND(C5/INDEX(Vehicles!$E$5:$E$16,MATCH(E5,Vehicles!$A$5:$A$16,0)),3)</f>
        <v/>
      </c>
      <c r="G5" s="42">
        <f>ROUND(INDEX(Vehicles!$E$5:$E$16,MATCH(E5,Vehicles!$A$5:$A$16,0))/INDEX('Trip Calculator'!$Z$5:$Z$16,MATCH(E5,'Trip Calculator'!$B$5:$B$16,0)),1)</f>
        <v/>
      </c>
      <c r="H5" s="42">
        <f>ROUND((INDEX(Vehicles!$E$5:$E$16,MATCH(E5,Vehicles!$A$5:$A$16,0))+C5)/INDEX('Trip Calculator'!$Z$5:$Z$16,MATCH(E5,'Trip Calculator'!$B$5:$B$16,0)),1)</f>
        <v/>
      </c>
      <c r="I5" s="42">
        <f>INDEX(Vehicles!$T$5:$T$16,MATCH(E5,Vehicles!$A$5:$A$16,0))</f>
        <v/>
      </c>
      <c r="J5" s="49" t="inlineStr">
        <is>
          <t>Same rule as above.</t>
        </is>
      </c>
    </row>
    <row r="6" ht="30" customHeight="1" s="37">
      <c r="A6" s="59" t="inlineStr">
        <is>
          <t>coldchain</t>
        </is>
      </c>
      <c r="B6" s="59" t="inlineStr">
        <is>
          <t>Cold chain operating permit</t>
        </is>
      </c>
      <c r="C6" s="52" t="n">
        <v>700000</v>
      </c>
      <c r="D6" s="59" t="inlineStr">
        <is>
          <t>8</t>
        </is>
      </c>
      <c r="E6" s="48" t="n">
        <v>8</v>
      </c>
      <c r="F6" s="42">
        <f>ROUND(C6/INDEX(Vehicles!$E$5:$E$16,MATCH(E6,Vehicles!$A$5:$A$16,0)),3)</f>
        <v/>
      </c>
      <c r="G6" s="42">
        <f>ROUND(INDEX(Vehicles!$E$5:$E$16,MATCH(E6,Vehicles!$A$5:$A$16,0))/INDEX('Trip Calculator'!$Z$5:$Z$16,MATCH(E6,'Trip Calculator'!$B$5:$B$16,0)),1)</f>
        <v/>
      </c>
      <c r="H6" s="42">
        <f>ROUND((INDEX(Vehicles!$E$5:$E$16,MATCH(E6,Vehicles!$A$5:$A$16,0))+C6)/INDEX('Trip Calculator'!$Z$5:$Z$16,MATCH(E6,'Trip Calculator'!$B$5:$B$16,0)),1)</f>
        <v/>
      </c>
      <c r="I6" s="42">
        <f>INDEX(Vehicles!$T$5:$T$16,MATCH(E6,Vehicles!$A$5:$A$16,0))</f>
        <v/>
      </c>
      <c r="J6" s="49" t="inlineStr">
        <is>
          <t>Same rule as above.</t>
        </is>
      </c>
    </row>
    <row r="7" ht="30" customHeight="1" s="37">
      <c r="A7" s="59" t="inlineStr">
        <is>
          <t>hazmat</t>
        </is>
      </c>
      <c r="B7" s="59" t="inlineStr">
        <is>
          <t>Hazmat operating permit</t>
        </is>
      </c>
      <c r="C7" s="52" t="n">
        <v>800000</v>
      </c>
      <c r="D7" s="59" t="inlineStr">
        <is>
          <t>10</t>
        </is>
      </c>
      <c r="E7" s="48" t="n">
        <v>10</v>
      </c>
      <c r="F7" s="42">
        <f>ROUND(C7/INDEX(Vehicles!$E$5:$E$16,MATCH(E7,Vehicles!$A$5:$A$16,0)),3)</f>
        <v/>
      </c>
      <c r="G7" s="42">
        <f>ROUND(INDEX(Vehicles!$E$5:$E$16,MATCH(E7,Vehicles!$A$5:$A$16,0))/INDEX('Trip Calculator'!$Z$5:$Z$16,MATCH(E7,'Trip Calculator'!$B$5:$B$16,0)),1)</f>
        <v/>
      </c>
      <c r="H7" s="42">
        <f>ROUND((INDEX(Vehicles!$E$5:$E$16,MATCH(E7,Vehicles!$A$5:$A$16,0))+C7)/INDEX('Trip Calculator'!$Z$5:$Z$16,MATCH(E7,'Trip Calculator'!$B$5:$B$16,0)),1)</f>
        <v/>
      </c>
      <c r="I7" s="42">
        <f>INDEX(Vehicles!$T$5:$T$16,MATCH(E7,Vehicles!$A$5:$A$16,0))</f>
        <v/>
      </c>
      <c r="J7" s="49" t="inlineStr">
        <is>
          <t>Same rule as above.</t>
        </is>
      </c>
    </row>
    <row r="8" ht="30" customHeight="1" s="37">
      <c r="A8" s="59" t="inlineStr">
        <is>
          <t>heavy</t>
        </is>
      </c>
      <c r="B8" s="59" t="inlineStr">
        <is>
          <t>Heavy operating permit</t>
        </is>
      </c>
      <c r="C8" s="52" t="n">
        <v>1000000</v>
      </c>
      <c r="D8" s="59" t="inlineStr">
        <is>
          <t>9,11,12</t>
        </is>
      </c>
      <c r="E8" s="48" t="n">
        <v>9</v>
      </c>
      <c r="F8" s="42">
        <f>ROUND(C8/INDEX(Vehicles!$E$5:$E$16,MATCH(E8,Vehicles!$A$5:$A$16,0)),3)</f>
        <v/>
      </c>
      <c r="G8" s="42">
        <f>ROUND(INDEX(Vehicles!$E$5:$E$16,MATCH(E8,Vehicles!$A$5:$A$16,0))/INDEX('Trip Calculator'!$Z$5:$Z$16,MATCH(E8,'Trip Calculator'!$B$5:$B$16,0)),1)</f>
        <v/>
      </c>
      <c r="H8" s="42">
        <f>ROUND((INDEX(Vehicles!$E$5:$E$16,MATCH(E8,Vehicles!$A$5:$A$16,0))+C8)/INDEX('Trip Calculator'!$Z$5:$Z$16,MATCH(E8,'Trip Calculator'!$B$5:$B$16,0)),1)</f>
        <v/>
      </c>
      <c r="I8" s="42">
        <f>INDEX(Vehicles!$T$5:$T$16,MATCH(E8,Vehicles!$A$5:$A$16,0))</f>
        <v/>
      </c>
      <c r="J8" s="49" t="inlineStr">
        <is>
          <t>Same rule as above.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36" min="1" max="1"/>
    <col width="18" customWidth="1" style="36" min="2" max="2"/>
    <col width="22" customWidth="1" style="36" min="3" max="3"/>
    <col width="11" customWidth="1" style="36" min="4" max="4"/>
    <col width="9" customWidth="1" style="36" min="5" max="5"/>
    <col width="15" customWidth="1" style="36" min="6" max="6"/>
    <col width="12" customWidth="1" style="36" min="7" max="7"/>
    <col width="11" customWidth="1" style="36" min="8" max="9"/>
    <col width="60" customWidth="1" style="36" min="10" max="10"/>
  </cols>
  <sheetData>
    <row r="1" ht="17.35" customHeight="1" s="37">
      <c r="A1" s="38" t="inlineStr">
        <is>
          <t>Routes</t>
        </is>
      </c>
      <c r="B1" s="39" t="n"/>
      <c r="C1" s="39" t="n"/>
      <c r="D1" s="39" t="n"/>
      <c r="E1" s="39" t="n"/>
      <c r="F1" s="39" t="n"/>
      <c r="G1" s="39" t="n"/>
      <c r="H1" s="39" t="n"/>
      <c r="I1" s="39" t="n"/>
      <c r="J1" s="39" t="n"/>
    </row>
    <row r="2" ht="15" customHeight="1" s="37">
      <c r="A2" s="47" t="inlineStr">
        <is>
          <t>Distances are approximate road km. Replace with OSRM output during data prep. Daily demand is a game value per route.</t>
        </is>
      </c>
      <c r="B2" s="39" t="n"/>
      <c r="C2" s="39" t="n"/>
      <c r="D2" s="39" t="n"/>
      <c r="E2" s="39" t="n"/>
      <c r="F2" s="39" t="n"/>
      <c r="G2" s="39" t="n"/>
      <c r="H2" s="39" t="n"/>
      <c r="I2" s="39" t="n"/>
      <c r="J2" s="39" t="n"/>
    </row>
    <row r="3" ht="15" customHeight="1" s="37">
      <c r="A3" s="39" t="n"/>
      <c r="B3" s="39" t="n"/>
      <c r="C3" s="39" t="n"/>
      <c r="D3" s="39" t="n"/>
      <c r="E3" s="39" t="n"/>
      <c r="F3" s="39" t="n"/>
      <c r="G3" s="39" t="n"/>
      <c r="H3" s="39" t="n"/>
      <c r="I3" s="39" t="n"/>
      <c r="J3" s="39" t="n"/>
    </row>
    <row r="4" ht="45" customHeight="1" s="37">
      <c r="A4" s="45" t="inlineStr">
        <is>
          <t>Route ID</t>
        </is>
      </c>
      <c r="B4" s="45" t="inlineStr">
        <is>
          <t>From</t>
        </is>
      </c>
      <c r="C4" s="45" t="inlineStr">
        <is>
          <t>To</t>
        </is>
      </c>
      <c r="D4" s="45" t="inlineStr">
        <is>
          <t>Distance (km, one way)</t>
        </is>
      </c>
      <c r="E4" s="45" t="inlineStr">
        <is>
          <t>Haul type</t>
        </is>
      </c>
      <c r="F4" s="45" t="inlineStr">
        <is>
          <t>Crossing</t>
        </is>
      </c>
      <c r="G4" s="45" t="inlineStr">
        <is>
          <t>Weighbridges</t>
        </is>
      </c>
      <c r="H4" s="45" t="inlineStr">
        <is>
          <t>Extra delay (game h)</t>
        </is>
      </c>
      <c r="I4" s="45" t="inlineStr">
        <is>
          <t>Daily demand (t)</t>
        </is>
      </c>
      <c r="J4" s="45" t="inlineStr">
        <is>
          <t>Notes</t>
        </is>
      </c>
    </row>
    <row r="5" ht="15" customHeight="1" s="37">
      <c r="A5" s="42" t="inlineStr">
        <is>
          <t>M01</t>
        </is>
      </c>
      <c r="B5" s="42" t="inlineStr">
        <is>
          <t>Kawran Bazar</t>
        </is>
      </c>
      <c r="C5" s="42" t="inlineStr">
        <is>
          <t>Nearby shops</t>
        </is>
      </c>
      <c r="D5" s="48" t="n">
        <v>3</v>
      </c>
      <c r="E5" s="59" t="inlineStr">
        <is>
          <t>Local</t>
        </is>
      </c>
      <c r="F5" s="59" t="inlineStr">
        <is>
          <t>None</t>
        </is>
      </c>
      <c r="G5" s="59" t="n">
        <v>0</v>
      </c>
      <c r="H5" s="60" t="n">
        <v>0</v>
      </c>
      <c r="I5" s="48" t="n">
        <v>3</v>
      </c>
      <c r="J5" s="42" t="inlineStr">
        <is>
          <t>Pedal van market runs.</t>
        </is>
      </c>
    </row>
    <row r="6" ht="15" customHeight="1" s="37">
      <c r="A6" s="42" t="inlineStr">
        <is>
          <t>M02</t>
        </is>
      </c>
      <c r="B6" s="42" t="inlineStr">
        <is>
          <t>Dhaka</t>
        </is>
      </c>
      <c r="C6" s="42" t="inlineStr">
        <is>
          <t>Neighbourhood delivery</t>
        </is>
      </c>
      <c r="D6" s="48" t="n">
        <v>8</v>
      </c>
      <c r="E6" s="59" t="inlineStr">
        <is>
          <t>Local</t>
        </is>
      </c>
      <c r="F6" s="59" t="inlineStr">
        <is>
          <t>None</t>
        </is>
      </c>
      <c r="G6" s="59" t="n">
        <v>0</v>
      </c>
      <c r="H6" s="60" t="n">
        <v>0.2</v>
      </c>
      <c r="I6" s="48" t="n">
        <v>8</v>
      </c>
      <c r="J6" s="42" t="inlineStr">
        <is>
          <t>Battery cargo, parcels.</t>
        </is>
      </c>
    </row>
    <row r="7" ht="15" customHeight="1" s="37">
      <c r="A7" s="42" t="inlineStr">
        <is>
          <t>R01</t>
        </is>
      </c>
      <c r="B7" s="42" t="inlineStr">
        <is>
          <t>Dhaka (Tejgaon)</t>
        </is>
      </c>
      <c r="C7" s="42" t="inlineStr">
        <is>
          <t>Dhaka city</t>
        </is>
      </c>
      <c r="D7" s="48" t="n">
        <v>15</v>
      </c>
      <c r="E7" s="59" t="inlineStr">
        <is>
          <t>Local</t>
        </is>
      </c>
      <c r="F7" s="59" t="inlineStr">
        <is>
          <t>None</t>
        </is>
      </c>
      <c r="G7" s="59" t="n">
        <v>0</v>
      </c>
      <c r="H7" s="60" t="n">
        <v>0.3</v>
      </c>
      <c r="I7" s="48" t="n">
        <v>60</v>
      </c>
      <c r="J7" s="42" t="inlineStr">
        <is>
          <t>Starter route. Two pickups use up most of the demand.</t>
        </is>
      </c>
    </row>
    <row r="8" ht="15" customHeight="1" s="37">
      <c r="A8" s="42" t="inlineStr">
        <is>
          <t>R02</t>
        </is>
      </c>
      <c r="B8" s="42" t="inlineStr">
        <is>
          <t>Dhaka</t>
        </is>
      </c>
      <c r="C8" s="42" t="inlineStr">
        <is>
          <t>Narayanganj</t>
        </is>
      </c>
      <c r="D8" s="48" t="n">
        <v>20</v>
      </c>
      <c r="E8" s="59" t="inlineStr">
        <is>
          <t>Local</t>
        </is>
      </c>
      <c r="F8" s="59" t="inlineStr">
        <is>
          <t>None</t>
        </is>
      </c>
      <c r="G8" s="59" t="n">
        <v>0</v>
      </c>
      <c r="H8" s="60" t="n">
        <v>0.3</v>
      </c>
      <c r="I8" s="48" t="n">
        <v>50</v>
      </c>
      <c r="J8" s="42" t="n"/>
    </row>
    <row r="9" ht="15" customHeight="1" s="37">
      <c r="A9" s="42" t="inlineStr">
        <is>
          <t>R03</t>
        </is>
      </c>
      <c r="B9" s="42" t="inlineStr">
        <is>
          <t>Dhaka</t>
        </is>
      </c>
      <c r="C9" s="42" t="inlineStr">
        <is>
          <t>Gazipur</t>
        </is>
      </c>
      <c r="D9" s="48" t="n">
        <v>35</v>
      </c>
      <c r="E9" s="59" t="inlineStr">
        <is>
          <t>Local</t>
        </is>
      </c>
      <c r="F9" s="59" t="inlineStr">
        <is>
          <t>None</t>
        </is>
      </c>
      <c r="G9" s="59" t="n">
        <v>0</v>
      </c>
      <c r="H9" s="60" t="n">
        <v>0.5</v>
      </c>
      <c r="I9" s="48" t="n">
        <v>80</v>
      </c>
      <c r="J9" s="42" t="inlineStr">
        <is>
          <t>Garment belt.</t>
        </is>
      </c>
    </row>
    <row r="10" ht="15" customHeight="1" s="37">
      <c r="A10" s="42" t="inlineStr">
        <is>
          <t>R04</t>
        </is>
      </c>
      <c r="B10" s="42" t="inlineStr">
        <is>
          <t>Dhaka</t>
        </is>
      </c>
      <c r="C10" s="42" t="inlineStr">
        <is>
          <t>Cumilla</t>
        </is>
      </c>
      <c r="D10" s="48" t="n">
        <v>100</v>
      </c>
      <c r="E10" s="59" t="inlineStr">
        <is>
          <t>Line</t>
        </is>
      </c>
      <c r="F10" s="59" t="inlineStr">
        <is>
          <t>Meghna+Gumti</t>
        </is>
      </c>
      <c r="G10" s="59" t="n">
        <v>1</v>
      </c>
      <c r="H10" s="60" t="n">
        <v>0.5</v>
      </c>
      <c r="I10" s="48" t="n">
        <v>120</v>
      </c>
      <c r="J10" s="42" t="n"/>
    </row>
    <row r="11" ht="15" customHeight="1" s="37">
      <c r="A11" s="42" t="inlineStr">
        <is>
          <t>R05</t>
        </is>
      </c>
      <c r="B11" s="42" t="inlineStr">
        <is>
          <t>Dhaka</t>
        </is>
      </c>
      <c r="C11" s="42" t="inlineStr">
        <is>
          <t>Chattogram Port</t>
        </is>
      </c>
      <c r="D11" s="48" t="n">
        <v>250</v>
      </c>
      <c r="E11" s="59" t="inlineStr">
        <is>
          <t>Line</t>
        </is>
      </c>
      <c r="F11" s="59" t="inlineStr">
        <is>
          <t>Meghna+Gumti</t>
        </is>
      </c>
      <c r="G11" s="59" t="n">
        <v>2</v>
      </c>
      <c r="H11" s="60" t="n">
        <v>1</v>
      </c>
      <c r="I11" s="48" t="n">
        <v>400</v>
      </c>
      <c r="J11" s="42" t="inlineStr">
        <is>
          <t>N1, the main trade corridor.</t>
        </is>
      </c>
    </row>
    <row r="12" ht="15" customHeight="1" s="37">
      <c r="A12" s="42" t="inlineStr">
        <is>
          <t>R06</t>
        </is>
      </c>
      <c r="B12" s="42" t="inlineStr">
        <is>
          <t>Gazipur</t>
        </is>
      </c>
      <c r="C12" s="42" t="inlineStr">
        <is>
          <t>Chattogram Port</t>
        </is>
      </c>
      <c r="D12" s="48" t="n">
        <v>280</v>
      </c>
      <c r="E12" s="59" t="inlineStr">
        <is>
          <t>Line</t>
        </is>
      </c>
      <c r="F12" s="59" t="inlineStr">
        <is>
          <t>Meghna+Gumti</t>
        </is>
      </c>
      <c r="G12" s="59" t="n">
        <v>2</v>
      </c>
      <c r="H12" s="60" t="n">
        <v>1.5</v>
      </c>
      <c r="I12" s="48" t="n">
        <v>300</v>
      </c>
      <c r="J12" s="42" t="inlineStr">
        <is>
          <t>Garment exports.</t>
        </is>
      </c>
    </row>
    <row r="13" ht="15" customHeight="1" s="37">
      <c r="A13" s="42" t="inlineStr">
        <is>
          <t>R07</t>
        </is>
      </c>
      <c r="B13" s="42" t="inlineStr">
        <is>
          <t>Dhaka</t>
        </is>
      </c>
      <c r="C13" s="42" t="inlineStr">
        <is>
          <t>Sylhet</t>
        </is>
      </c>
      <c r="D13" s="48" t="n">
        <v>240</v>
      </c>
      <c r="E13" s="59" t="inlineStr">
        <is>
          <t>Line</t>
        </is>
      </c>
      <c r="F13" s="59" t="inlineStr">
        <is>
          <t>None</t>
        </is>
      </c>
      <c r="G13" s="59" t="n">
        <v>0</v>
      </c>
      <c r="H13" s="60" t="n">
        <v>0.5</v>
      </c>
      <c r="I13" s="48" t="n">
        <v>100</v>
      </c>
      <c r="J13" s="42" t="n"/>
    </row>
    <row r="14" ht="15" customHeight="1" s="37">
      <c r="A14" s="42" t="inlineStr">
        <is>
          <t>R08</t>
        </is>
      </c>
      <c r="B14" s="42" t="inlineStr">
        <is>
          <t>Dhaka</t>
        </is>
      </c>
      <c r="C14" s="42" t="inlineStr">
        <is>
          <t>Bogura</t>
        </is>
      </c>
      <c r="D14" s="48" t="n">
        <v>200</v>
      </c>
      <c r="E14" s="59" t="inlineStr">
        <is>
          <t>Line</t>
        </is>
      </c>
      <c r="F14" s="59" t="inlineStr">
        <is>
          <t>Jamuna Bridge</t>
        </is>
      </c>
      <c r="G14" s="59" t="n">
        <v>1</v>
      </c>
      <c r="H14" s="60" t="n">
        <v>0.5</v>
      </c>
      <c r="I14" s="48" t="n">
        <v>150</v>
      </c>
      <c r="J14" s="42" t="inlineStr">
        <is>
          <t>Northern farm goods.</t>
        </is>
      </c>
    </row>
    <row r="15" ht="15" customHeight="1" s="37">
      <c r="A15" s="42" t="inlineStr">
        <is>
          <t>R09</t>
        </is>
      </c>
      <c r="B15" s="42" t="inlineStr">
        <is>
          <t>Dhaka</t>
        </is>
      </c>
      <c r="C15" s="42" t="inlineStr">
        <is>
          <t>Rangpur</t>
        </is>
      </c>
      <c r="D15" s="48" t="n">
        <v>300</v>
      </c>
      <c r="E15" s="59" t="inlineStr">
        <is>
          <t>Line</t>
        </is>
      </c>
      <c r="F15" s="59" t="inlineStr">
        <is>
          <t>Jamuna Bridge</t>
        </is>
      </c>
      <c r="G15" s="59" t="n">
        <v>1</v>
      </c>
      <c r="H15" s="60" t="n">
        <v>0.5</v>
      </c>
      <c r="I15" s="48" t="n">
        <v>100</v>
      </c>
      <c r="J15" s="42" t="n"/>
    </row>
    <row r="16" ht="15" customHeight="1" s="37">
      <c r="A16" s="42" t="inlineStr">
        <is>
          <t>R10</t>
        </is>
      </c>
      <c r="B16" s="42" t="inlineStr">
        <is>
          <t>Dhaka</t>
        </is>
      </c>
      <c r="C16" s="42" t="inlineStr">
        <is>
          <t>Khulna (via Padma)</t>
        </is>
      </c>
      <c r="D16" s="48" t="n">
        <v>220</v>
      </c>
      <c r="E16" s="59" t="inlineStr">
        <is>
          <t>Line</t>
        </is>
      </c>
      <c r="F16" s="59" t="inlineStr">
        <is>
          <t>Padma Bridge</t>
        </is>
      </c>
      <c r="G16" s="59" t="n">
        <v>0</v>
      </c>
      <c r="H16" s="60" t="n">
        <v>0.5</v>
      </c>
      <c r="I16" s="48" t="n">
        <v>120</v>
      </c>
      <c r="J16" s="42" t="inlineStr">
        <is>
          <t>Fish and shrimp belt.</t>
        </is>
      </c>
    </row>
    <row r="17" ht="15" customHeight="1" s="37">
      <c r="A17" s="42" t="inlineStr">
        <is>
          <t>R11</t>
        </is>
      </c>
      <c r="B17" s="42" t="inlineStr">
        <is>
          <t>Dhaka</t>
        </is>
      </c>
      <c r="C17" s="42" t="inlineStr">
        <is>
          <t>Khulna (via Paturia ferry)</t>
        </is>
      </c>
      <c r="D17" s="48" t="n">
        <v>270</v>
      </c>
      <c r="E17" s="59" t="inlineStr">
        <is>
          <t>Line</t>
        </is>
      </c>
      <c r="F17" s="59" t="inlineStr">
        <is>
          <t>Paturia Ferry</t>
        </is>
      </c>
      <c r="G17" s="59" t="n">
        <v>0</v>
      </c>
      <c r="H17" s="60" t="n">
        <v>6</v>
      </c>
      <c r="I17" s="48" t="n">
        <v>120</v>
      </c>
      <c r="J17" s="42" t="inlineStr">
        <is>
          <t>Cheaper toll, average 6 h ferry wait (can be 2 to 48 h).</t>
        </is>
      </c>
    </row>
    <row r="18" ht="15" customHeight="1" s="37">
      <c r="A18" s="42" t="inlineStr">
        <is>
          <t>R12</t>
        </is>
      </c>
      <c r="B18" s="42" t="inlineStr">
        <is>
          <t>Dhaka</t>
        </is>
      </c>
      <c r="C18" s="42" t="inlineStr">
        <is>
          <t>Benapole</t>
        </is>
      </c>
      <c r="D18" s="48" t="n">
        <v>200</v>
      </c>
      <c r="E18" s="59" t="inlineStr">
        <is>
          <t>Line</t>
        </is>
      </c>
      <c r="F18" s="59" t="inlineStr">
        <is>
          <t>Padma Bridge</t>
        </is>
      </c>
      <c r="G18" s="59" t="n">
        <v>0</v>
      </c>
      <c r="H18" s="60" t="n">
        <v>2</v>
      </c>
      <c r="I18" s="48" t="n">
        <v>150</v>
      </c>
      <c r="J18" s="42" t="inlineStr">
        <is>
          <t>India border, queue at the land port.</t>
        </is>
      </c>
    </row>
    <row r="19" ht="15" customHeight="1" s="37">
      <c r="A19" s="42" t="inlineStr">
        <is>
          <t>R13</t>
        </is>
      </c>
      <c r="B19" s="42" t="inlineStr">
        <is>
          <t>Chattogram Port</t>
        </is>
      </c>
      <c r="C19" s="42" t="inlineStr">
        <is>
          <t>Cumilla</t>
        </is>
      </c>
      <c r="D19" s="48" t="n">
        <v>150</v>
      </c>
      <c r="E19" s="59" t="inlineStr">
        <is>
          <t>Line</t>
        </is>
      </c>
      <c r="F19" s="59" t="inlineStr">
        <is>
          <t>None</t>
        </is>
      </c>
      <c r="G19" s="59" t="n">
        <v>1</v>
      </c>
      <c r="H19" s="60" t="n">
        <v>0.5</v>
      </c>
      <c r="I19" s="48" t="n">
        <v>100</v>
      </c>
      <c r="J19" s="42" t="n"/>
    </row>
    <row r="20" ht="15" customHeight="1" s="37">
      <c r="A20" s="42" t="inlineStr">
        <is>
          <t>R14</t>
        </is>
      </c>
      <c r="B20" s="42" t="inlineStr">
        <is>
          <t>Narayanganj</t>
        </is>
      </c>
      <c r="C20" s="42" t="inlineStr">
        <is>
          <t>Dhaka sites (sand)</t>
        </is>
      </c>
      <c r="D20" s="48" t="n">
        <v>25</v>
      </c>
      <c r="E20" s="59" t="inlineStr">
        <is>
          <t>Local</t>
        </is>
      </c>
      <c r="F20" s="59" t="inlineStr">
        <is>
          <t>None</t>
        </is>
      </c>
      <c r="G20" s="59" t="n">
        <v>0</v>
      </c>
      <c r="H20" s="60" t="n">
        <v>0.5</v>
      </c>
      <c r="I20" s="48" t="n">
        <v>200</v>
      </c>
      <c r="J20" s="42" t="inlineStr">
        <is>
          <t>Tipper loop.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F26"/>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30" customWidth="1" style="36" min="1" max="1"/>
    <col width="6" customWidth="1" style="36" min="2" max="2"/>
    <col width="8" customWidth="1" style="36" min="3" max="3"/>
    <col width="15" customWidth="1" style="36" min="4" max="4"/>
    <col width="10" customWidth="1" style="36" min="5" max="5"/>
    <col width="15" customWidth="1" style="36" min="6" max="6"/>
    <col width="12" customWidth="1" style="36" min="7" max="7"/>
    <col width="9" customWidth="1" style="36" min="8" max="10"/>
    <col width="8" customWidth="1" style="36" min="11" max="11"/>
    <col width="9" customWidth="1" style="36" min="12" max="13"/>
    <col width="12" customWidth="1" style="36" min="14" max="14"/>
    <col width="11" customWidth="1" style="36" min="15" max="15"/>
    <col width="10" customWidth="1" style="36" min="16" max="16"/>
    <col width="9" customWidth="1" style="36" min="17" max="17"/>
    <col width="10" customWidth="1" style="36" min="18" max="18"/>
    <col width="11" customWidth="1" style="36" min="19" max="21"/>
    <col width="12" customWidth="1" style="36" min="22" max="23"/>
    <col width="8" customWidth="1" style="36" min="24" max="24"/>
    <col width="10" customWidth="1" style="36" min="25" max="25"/>
    <col width="13" customWidth="1" style="36" min="26" max="26"/>
    <col width="10" customWidth="1" style="36" min="27" max="28"/>
    <col width="11" customWidth="1" style="36" min="29" max="29"/>
    <col width="9" customWidth="1" style="36" min="30" max="30"/>
    <col width="11" customWidth="1" style="36" min="31" max="31"/>
    <col width="24" customWidth="1" style="36" min="32" max="32"/>
  </cols>
  <sheetData>
    <row r="1" ht="17.35" customHeight="1" s="37">
      <c r="A1" s="38" t="inlineStr">
        <is>
          <t>Trip calculator: one row per scenario</t>
        </is>
      </c>
      <c r="B1" s="39" t="n"/>
      <c r="C1" s="39" t="n"/>
      <c r="D1" s="39" t="n"/>
      <c r="E1" s="39" t="n"/>
      <c r="F1" s="39" t="n"/>
      <c r="G1" s="39" t="n"/>
      <c r="H1" s="39" t="n"/>
      <c r="I1" s="39" t="n"/>
      <c r="J1" s="39" t="n"/>
      <c r="K1" s="39" t="n"/>
      <c r="L1" s="39" t="n"/>
      <c r="M1" s="39" t="n"/>
      <c r="N1" s="39" t="n"/>
      <c r="O1" s="39" t="n"/>
      <c r="P1" s="39" t="n"/>
      <c r="Q1" s="39" t="n"/>
      <c r="R1" s="39" t="n"/>
      <c r="S1" s="39" t="n"/>
      <c r="T1" s="39" t="n"/>
      <c r="U1" s="39" t="n"/>
      <c r="V1" s="39" t="n"/>
      <c r="W1" s="39" t="n"/>
      <c r="X1" s="39" t="n"/>
      <c r="Y1" s="39" t="n"/>
      <c r="Z1" s="39" t="n"/>
      <c r="AA1" s="39" t="n"/>
      <c r="AB1" s="39" t="n"/>
      <c r="AC1" s="39" t="n"/>
      <c r="AD1" s="39" t="n"/>
      <c r="AE1" s="39" t="n"/>
      <c r="AF1" s="39" t="n"/>
    </row>
    <row r="2" ht="15" customHeight="1" s="37">
      <c r="A2" s="47" t="inlineStr">
        <is>
          <t>Change the blue columns (tier, route, cargo, overload). Everything else is calculated. Payback assumes the vehicle is always busy at 1x speed.</t>
        </is>
      </c>
      <c r="B2" s="39" t="n"/>
      <c r="C2" s="39" t="n"/>
      <c r="D2" s="39" t="n"/>
      <c r="E2" s="39" t="n"/>
      <c r="F2" s="39" t="n"/>
      <c r="G2" s="39" t="n"/>
      <c r="H2" s="39" t="n"/>
      <c r="I2" s="39" t="n"/>
      <c r="J2" s="39" t="n"/>
      <c r="K2" s="39" t="n"/>
      <c r="L2" s="39" t="n"/>
      <c r="M2" s="39" t="n"/>
      <c r="N2" s="39" t="n"/>
      <c r="O2" s="39" t="n"/>
      <c r="P2" s="39" t="n"/>
      <c r="Q2" s="39" t="n"/>
      <c r="R2" s="39" t="n"/>
      <c r="S2" s="39" t="n"/>
      <c r="T2" s="39" t="n"/>
      <c r="U2" s="39" t="n"/>
      <c r="V2" s="39" t="n"/>
      <c r="W2" s="39" t="n"/>
      <c r="X2" s="39" t="n"/>
      <c r="Y2" s="39" t="n"/>
      <c r="Z2" s="39" t="n"/>
      <c r="AA2" s="39" t="n"/>
      <c r="AB2" s="39" t="n"/>
      <c r="AC2" s="39" t="n"/>
      <c r="AD2" s="39" t="n"/>
      <c r="AE2" s="39" t="n"/>
      <c r="AF2" s="39" t="n"/>
    </row>
    <row r="3" ht="15" customHeight="1" s="37">
      <c r="A3" s="39" t="n"/>
      <c r="B3" s="39" t="n"/>
      <c r="C3" s="39" t="n"/>
      <c r="D3" s="39" t="n"/>
      <c r="E3" s="39" t="n"/>
      <c r="F3" s="39" t="n"/>
      <c r="G3" s="39" t="n"/>
      <c r="H3" s="39" t="n"/>
      <c r="I3" s="39" t="n"/>
      <c r="J3" s="39" t="n"/>
      <c r="K3" s="39" t="n"/>
      <c r="L3" s="39" t="n"/>
      <c r="M3" s="39" t="n"/>
      <c r="N3" s="39" t="n"/>
      <c r="O3" s="39" t="n"/>
      <c r="P3" s="39" t="n"/>
      <c r="Q3" s="39" t="n"/>
      <c r="R3" s="39" t="n"/>
      <c r="S3" s="39" t="n"/>
      <c r="T3" s="39" t="n"/>
      <c r="U3" s="39" t="n"/>
      <c r="V3" s="39" t="n"/>
      <c r="W3" s="39" t="n"/>
      <c r="X3" s="39" t="n"/>
      <c r="Y3" s="39" t="n"/>
      <c r="Z3" s="39" t="n"/>
      <c r="AA3" s="39" t="n"/>
      <c r="AB3" s="39" t="n"/>
      <c r="AC3" s="39" t="n"/>
      <c r="AD3" s="39" t="n"/>
      <c r="AE3" s="39" t="n"/>
      <c r="AF3" s="39" t="n"/>
    </row>
    <row r="4" ht="45" customHeight="1" s="37">
      <c r="A4" s="45" t="inlineStr">
        <is>
          <t>Scenario</t>
        </is>
      </c>
      <c r="B4" s="45" t="inlineStr">
        <is>
          <t>Tier</t>
        </is>
      </c>
      <c r="C4" s="45" t="inlineStr">
        <is>
          <t>Route ID</t>
        </is>
      </c>
      <c r="D4" s="45" t="inlineStr">
        <is>
          <t>Cargo</t>
        </is>
      </c>
      <c r="E4" s="45" t="inlineStr">
        <is>
          <t>Overload asked (t)</t>
        </is>
      </c>
      <c r="F4" s="45" t="inlineStr">
        <is>
          <t>Vehicle</t>
        </is>
      </c>
      <c r="G4" s="45" t="inlineStr">
        <is>
          <t>Price (Tk)</t>
        </is>
      </c>
      <c r="H4" s="45" t="inlineStr">
        <is>
          <t>Legal payload (t)</t>
        </is>
      </c>
      <c r="I4" s="45" t="inlineStr">
        <is>
          <t>Load carried (t)</t>
        </is>
      </c>
      <c r="J4" s="45" t="inlineStr">
        <is>
          <t>Overload ratio</t>
        </is>
      </c>
      <c r="K4" s="45" t="inlineStr">
        <is>
          <t>Haul type</t>
        </is>
      </c>
      <c r="L4" s="45" t="inlineStr">
        <is>
          <t>One-way km</t>
        </is>
      </c>
      <c r="M4" s="45" t="inlineStr">
        <is>
          <t>Driven km</t>
        </is>
      </c>
      <c r="N4" s="45" t="inlineStr">
        <is>
          <t>Revenue (Tk)</t>
        </is>
      </c>
      <c r="O4" s="45" t="inlineStr">
        <is>
          <t>Energy (Tk)</t>
        </is>
      </c>
      <c r="P4" s="45" t="inlineStr">
        <is>
          <t>Tolls (Tk)</t>
        </is>
      </c>
      <c r="Q4" s="45" t="inlineStr">
        <is>
          <t>Trip time (game h)</t>
        </is>
      </c>
      <c r="R4" s="45" t="inlineStr">
        <is>
          <t>Crew (Tk)</t>
        </is>
      </c>
      <c r="S4" s="45" t="inlineStr">
        <is>
          <t>Maintenance (Tk)</t>
        </is>
      </c>
      <c r="T4" s="45" t="inlineStr">
        <is>
          <t>Expected fines (Tk)</t>
        </is>
      </c>
      <c r="U4" s="45" t="inlineStr">
        <is>
          <t>Expected accident cost (Tk)</t>
        </is>
      </c>
      <c r="V4" s="45" t="inlineStr">
        <is>
          <t>Total cost (Tk)</t>
        </is>
      </c>
      <c r="W4" s="45" t="inlineStr">
        <is>
          <t>Profit per trip (Tk)</t>
        </is>
      </c>
      <c r="X4" s="45" t="inlineStr">
        <is>
          <t>Margin</t>
        </is>
      </c>
      <c r="Y4" s="45" t="inlineStr">
        <is>
          <t>Trip time (real min at 1x)</t>
        </is>
      </c>
      <c r="Z4" s="45" t="inlineStr">
        <is>
          <t>Profit per real hour (Tk)</t>
        </is>
      </c>
      <c r="AA4" s="45" t="inlineStr">
        <is>
          <t>Payback (real h)</t>
        </is>
      </c>
      <c r="AB4" s="45" t="inlineStr">
        <is>
          <t>Target (real h)</t>
        </is>
      </c>
      <c r="AC4" s="45" t="inlineStr">
        <is>
          <t>Status</t>
        </is>
      </c>
      <c r="AD4" s="45" t="inlineStr">
        <is>
          <t>Trips per game day</t>
        </is>
      </c>
      <c r="AE4" s="45" t="inlineStr">
        <is>
          <t>Vehicles before demand runs out</t>
        </is>
      </c>
      <c r="AF4" s="45" t="inlineStr">
        <is>
          <t>Warning</t>
        </is>
      </c>
    </row>
    <row r="5" ht="15" customHeight="1" s="37">
      <c r="A5" s="42" t="inlineStr">
        <is>
          <t>Tier 1 typical</t>
        </is>
      </c>
      <c r="B5" s="59" t="n">
        <v>1</v>
      </c>
      <c r="C5" s="59" t="inlineStr">
        <is>
          <t>M01</t>
        </is>
      </c>
      <c r="D5" s="59" t="inlineStr">
        <is>
          <t>Market goods</t>
        </is>
      </c>
      <c r="E5" s="60" t="n">
        <v>0</v>
      </c>
      <c r="F5" s="43">
        <f>INDEX(Vehicles!$B$5:$B$16,MATCH($B5,Vehicles!$A$5:$A$16,0))</f>
        <v/>
      </c>
      <c r="G5" s="44">
        <f>INDEX(Vehicles!$E$5:$E$16,MATCH($B5,Vehicles!$A$5:$A$16,0))</f>
        <v/>
      </c>
      <c r="H5" s="64">
        <f>INDEX(Vehicles!$F$5:$F$16,MATCH($B5,Vehicles!$A$5:$A$16,0))</f>
        <v/>
      </c>
      <c r="I5" s="65">
        <f>H5+MAX(0,MIN(E5,INDEX(Vehicles!$G$5:$G$16,MATCH($B5,Vehicles!$A$5:$A$16,0))-H5))</f>
        <v/>
      </c>
      <c r="J5" s="66">
        <f>(I5-H5)/H5</f>
        <v/>
      </c>
      <c r="K5" s="43">
        <f>INDEX(Routes!$E$5:$E$20,MATCH($C5,Routes!$A$5:$A$20,0))</f>
        <v/>
      </c>
      <c r="L5" s="44">
        <f>INDEX(Routes!$D$5:$D$20,MATCH($C5,Routes!$A$5:$A$20,0))</f>
        <v/>
      </c>
      <c r="M5" s="58">
        <f>IF(K5="Local",2*L5,L5)</f>
        <v/>
      </c>
      <c r="N5" s="58">
        <f>I5*(Settings!$B$6+Settings!$B$7*L5)*INDEX(Cargo!$B$4:$B$15,MATCH($D5,Cargo!$A$4:$A$15,0))*INDEX(Vehicles!$O$5:$O$16,MATCH($B5,Vehicles!$A$5:$A$16,0))*Settings!$B$8</f>
        <v/>
      </c>
      <c r="O5" s="58">
        <f>M5*INDEX(Vehicles!$K$5:$K$16,MATCH($B5,Vehicles!$A$5:$A$16,0))*(1+Settings!$B$18*J5)</f>
        <v/>
      </c>
      <c r="P5" s="58">
        <f>INDEX(Tolls!$B$5:$F$11,MATCH(INDEX(Vehicles!$P$5:$P$16,MATCH($B5,Vehicles!$A$5:$A$16,0)),Tolls!$A$5:$A$11,0),MATCH(INDEX(Routes!$F$5:$F$20,MATCH($C5,Routes!$A$5:$A$20,0)),Tolls!$B$4:$F$4,0))*IF(K5="Local",2,1)</f>
        <v/>
      </c>
      <c r="Q5" s="65">
        <f>M5/INDEX(Vehicles!$H$5:$H$16,MATCH($B5,Vehicles!$A$5:$A$16,0))+INDEX(Vehicles!$N$5:$N$16,MATCH($B5,Vehicles!$A$5:$A$16,0))+INDEX(Routes!$H$5:$H$20,MATCH($C5,Routes!$A$5:$A$20,0))</f>
        <v/>
      </c>
      <c r="R5" s="58">
        <f>Q5*INDEX(Vehicles!$M$5:$M$16,MATCH($B5,Vehicles!$A$5:$A$16,0))</f>
        <v/>
      </c>
      <c r="S5" s="58">
        <f>M5*INDEX(Vehicles!$L$5:$L$16,MATCH($B5,Vehicles!$A$5:$A$16,0))*(1+Settings!$B$19*J5)</f>
        <v/>
      </c>
      <c r="T5" s="58">
        <f>IF(I5&gt;H5,INDEX(Routes!$G$5:$G$20,MATCH($C5,Routes!$A$5:$A$20,0))*Settings!$B$20*(Settings!$B$21+Settings!$B$22*(I5-H5)),0)</f>
        <v/>
      </c>
      <c r="U5" s="58">
        <f>G5*Settings!$B$23*M5/100*(1+Settings!$B$24*J5)*Settings!$B$25</f>
        <v/>
      </c>
      <c r="V5" s="58">
        <f>SUM(O5:P5)+SUM(R5:U5)</f>
        <v/>
      </c>
      <c r="W5" s="58">
        <f>N5-V5</f>
        <v/>
      </c>
      <c r="X5" s="66">
        <f>IF(N5&gt;0,W5/N5,0)</f>
        <v/>
      </c>
      <c r="Y5" s="67">
        <f>Q5*60/Settings!$B$9</f>
        <v/>
      </c>
      <c r="Z5" s="58">
        <f>IF(Y5&gt;0,W5/Y5*60,0)</f>
        <v/>
      </c>
      <c r="AA5" s="67">
        <f>IF(Z5&gt;0,G5/Z5,"Never")</f>
        <v/>
      </c>
      <c r="AB5" s="42">
        <f>INDEX(Vehicles!$S$5:$S$16,MATCH($B5,Vehicles!$A$5:$A$16,0))&amp;" to "&amp;INDEX(Vehicles!$T$5:$T$16,MATCH($B5,Vehicles!$A$5:$A$16,0))</f>
        <v/>
      </c>
      <c r="AC5" s="42">
        <f>IF(NOT(ISNUMBER(AA5)),"Loses money",IF(AA5&lt;INDEX(Vehicles!$S$5:$S$16,MATCH($B5,Vehicles!$A$5:$A$16,0)),"Too fast",IF(AA5&gt;INDEX(Vehicles!$T$5:$T$16,MATCH($B5,Vehicles!$A$5:$A$16,0)),"Too slow","OK")))</f>
        <v/>
      </c>
      <c r="AD5" s="67">
        <f>24/Q5</f>
        <v/>
      </c>
      <c r="AE5" s="67">
        <f>INDEX(Routes!$I$5:$I$20,MATCH($C5,Routes!$A$5:$A$20,0))/(I5*AD5)</f>
        <v/>
      </c>
      <c r="AF5" s="42">
        <f>IF(AND(INDEX(Vehicles!$Q$5:$Q$16,MATCH($B5,Vehicles!$A$5:$A$16,0))="No",K5="Line"),"Not allowed on highway",IF(AND(K5="Line",L5&gt;Settings!$B$26),"Line haul too long",IF(ISERROR(SEARCH(","&amp;B5&amp;",",","&amp;INDEX(Cargo!$C$4:$C$15,MATCH($D5,Cargo!$A$4:$A$15,0))&amp;",")),"Cargo not allowed on this vehicle","")))</f>
        <v/>
      </c>
    </row>
    <row r="6" ht="15" customHeight="1" s="37">
      <c r="A6" s="42" t="inlineStr">
        <is>
          <t>Tier 2 typical</t>
        </is>
      </c>
      <c r="B6" s="59" t="n">
        <v>2</v>
      </c>
      <c r="C6" s="59" t="inlineStr">
        <is>
          <t>M02</t>
        </is>
      </c>
      <c r="D6" s="59" t="inlineStr">
        <is>
          <t>Parcels</t>
        </is>
      </c>
      <c r="E6" s="60" t="n">
        <v>0</v>
      </c>
      <c r="F6" s="43">
        <f>INDEX(Vehicles!$B$5:$B$16,MATCH($B6,Vehicles!$A$5:$A$16,0))</f>
        <v/>
      </c>
      <c r="G6" s="44">
        <f>INDEX(Vehicles!$E$5:$E$16,MATCH($B6,Vehicles!$A$5:$A$16,0))</f>
        <v/>
      </c>
      <c r="H6" s="64">
        <f>INDEX(Vehicles!$F$5:$F$16,MATCH($B6,Vehicles!$A$5:$A$16,0))</f>
        <v/>
      </c>
      <c r="I6" s="65">
        <f>H6+MAX(0,MIN(E6,INDEX(Vehicles!$G$5:$G$16,MATCH($B6,Vehicles!$A$5:$A$16,0))-H6))</f>
        <v/>
      </c>
      <c r="J6" s="66">
        <f>(I6-H6)/H6</f>
        <v/>
      </c>
      <c r="K6" s="43">
        <f>INDEX(Routes!$E$5:$E$20,MATCH($C6,Routes!$A$5:$A$20,0))</f>
        <v/>
      </c>
      <c r="L6" s="44">
        <f>INDEX(Routes!$D$5:$D$20,MATCH($C6,Routes!$A$5:$A$20,0))</f>
        <v/>
      </c>
      <c r="M6" s="58">
        <f>IF(K6="Local",2*L6,L6)</f>
        <v/>
      </c>
      <c r="N6" s="58">
        <f>I6*(Settings!$B$6+Settings!$B$7*L6)*INDEX(Cargo!$B$4:$B$15,MATCH($D6,Cargo!$A$4:$A$15,0))*INDEX(Vehicles!$O$5:$O$16,MATCH($B6,Vehicles!$A$5:$A$16,0))*Settings!$B$8</f>
        <v/>
      </c>
      <c r="O6" s="58">
        <f>M6*INDEX(Vehicles!$K$5:$K$16,MATCH($B6,Vehicles!$A$5:$A$16,0))*(1+Settings!$B$18*J6)</f>
        <v/>
      </c>
      <c r="P6" s="58">
        <f>INDEX(Tolls!$B$5:$F$11,MATCH(INDEX(Vehicles!$P$5:$P$16,MATCH($B6,Vehicles!$A$5:$A$16,0)),Tolls!$A$5:$A$11,0),MATCH(INDEX(Routes!$F$5:$F$20,MATCH($C6,Routes!$A$5:$A$20,0)),Tolls!$B$4:$F$4,0))*IF(K6="Local",2,1)</f>
        <v/>
      </c>
      <c r="Q6" s="65">
        <f>M6/INDEX(Vehicles!$H$5:$H$16,MATCH($B6,Vehicles!$A$5:$A$16,0))+INDEX(Vehicles!$N$5:$N$16,MATCH($B6,Vehicles!$A$5:$A$16,0))+INDEX(Routes!$H$5:$H$20,MATCH($C6,Routes!$A$5:$A$20,0))</f>
        <v/>
      </c>
      <c r="R6" s="58">
        <f>Q6*INDEX(Vehicles!$M$5:$M$16,MATCH($B6,Vehicles!$A$5:$A$16,0))</f>
        <v/>
      </c>
      <c r="S6" s="58">
        <f>M6*INDEX(Vehicles!$L$5:$L$16,MATCH($B6,Vehicles!$A$5:$A$16,0))*(1+Settings!$B$19*J6)</f>
        <v/>
      </c>
      <c r="T6" s="58">
        <f>IF(I6&gt;H6,INDEX(Routes!$G$5:$G$20,MATCH($C6,Routes!$A$5:$A$20,0))*Settings!$B$20*(Settings!$B$21+Settings!$B$22*(I6-H6)),0)</f>
        <v/>
      </c>
      <c r="U6" s="58">
        <f>G6*Settings!$B$23*M6/100*(1+Settings!$B$24*J6)*Settings!$B$25</f>
        <v/>
      </c>
      <c r="V6" s="58">
        <f>SUM(O6:P6)+SUM(R6:U6)</f>
        <v/>
      </c>
      <c r="W6" s="58">
        <f>N6-V6</f>
        <v/>
      </c>
      <c r="X6" s="66">
        <f>IF(N6&gt;0,W6/N6,0)</f>
        <v/>
      </c>
      <c r="Y6" s="67">
        <f>Q6*60/Settings!$B$9</f>
        <v/>
      </c>
      <c r="Z6" s="58">
        <f>IF(Y6&gt;0,W6/Y6*60,0)</f>
        <v/>
      </c>
      <c r="AA6" s="67">
        <f>IF(Z6&gt;0,G6/Z6,"Never")</f>
        <v/>
      </c>
      <c r="AB6" s="42">
        <f>INDEX(Vehicles!$S$5:$S$16,MATCH($B6,Vehicles!$A$5:$A$16,0))&amp;" to "&amp;INDEX(Vehicles!$T$5:$T$16,MATCH($B6,Vehicles!$A$5:$A$16,0))</f>
        <v/>
      </c>
      <c r="AC6" s="42">
        <f>IF(NOT(ISNUMBER(AA6)),"Loses money",IF(AA6&lt;INDEX(Vehicles!$S$5:$S$16,MATCH($B6,Vehicles!$A$5:$A$16,0)),"Too fast",IF(AA6&gt;INDEX(Vehicles!$T$5:$T$16,MATCH($B6,Vehicles!$A$5:$A$16,0)),"Too slow","OK")))</f>
        <v/>
      </c>
      <c r="AD6" s="67">
        <f>24/Q6</f>
        <v/>
      </c>
      <c r="AE6" s="67">
        <f>INDEX(Routes!$I$5:$I$20,MATCH($C6,Routes!$A$5:$A$20,0))/(I6*AD6)</f>
        <v/>
      </c>
      <c r="AF6" s="42">
        <f>IF(AND(INDEX(Vehicles!$Q$5:$Q$16,MATCH($B6,Vehicles!$A$5:$A$16,0))="No",K6="Line"),"Not allowed on highway",IF(AND(K6="Line",L6&gt;Settings!$B$26),"Line haul too long",IF(ISERROR(SEARCH(","&amp;B6&amp;",",","&amp;INDEX(Cargo!$C$4:$C$15,MATCH($D6,Cargo!$A$4:$A$15,0))&amp;",")),"Cargo not allowed on this vehicle","")))</f>
        <v/>
      </c>
    </row>
    <row r="7" ht="15" customHeight="1" s="37">
      <c r="A7" s="42" t="inlineStr">
        <is>
          <t>Tier 3 typical</t>
        </is>
      </c>
      <c r="B7" s="59" t="n">
        <v>3</v>
      </c>
      <c r="C7" s="59" t="inlineStr">
        <is>
          <t>R01</t>
        </is>
      </c>
      <c r="D7" s="59" t="inlineStr">
        <is>
          <t>Parcels</t>
        </is>
      </c>
      <c r="E7" s="60" t="n">
        <v>0</v>
      </c>
      <c r="F7" s="43">
        <f>INDEX(Vehicles!$B$5:$B$16,MATCH($B7,Vehicles!$A$5:$A$16,0))</f>
        <v/>
      </c>
      <c r="G7" s="44">
        <f>INDEX(Vehicles!$E$5:$E$16,MATCH($B7,Vehicles!$A$5:$A$16,0))</f>
        <v/>
      </c>
      <c r="H7" s="64">
        <f>INDEX(Vehicles!$F$5:$F$16,MATCH($B7,Vehicles!$A$5:$A$16,0))</f>
        <v/>
      </c>
      <c r="I7" s="65">
        <f>H7+MAX(0,MIN(E7,INDEX(Vehicles!$G$5:$G$16,MATCH($B7,Vehicles!$A$5:$A$16,0))-H7))</f>
        <v/>
      </c>
      <c r="J7" s="66">
        <f>(I7-H7)/H7</f>
        <v/>
      </c>
      <c r="K7" s="43">
        <f>INDEX(Routes!$E$5:$E$20,MATCH($C7,Routes!$A$5:$A$20,0))</f>
        <v/>
      </c>
      <c r="L7" s="44">
        <f>INDEX(Routes!$D$5:$D$20,MATCH($C7,Routes!$A$5:$A$20,0))</f>
        <v/>
      </c>
      <c r="M7" s="58">
        <f>IF(K7="Local",2*L7,L7)</f>
        <v/>
      </c>
      <c r="N7" s="58">
        <f>I7*(Settings!$B$6+Settings!$B$7*L7)*INDEX(Cargo!$B$4:$B$15,MATCH($D7,Cargo!$A$4:$A$15,0))*INDEX(Vehicles!$O$5:$O$16,MATCH($B7,Vehicles!$A$5:$A$16,0))*Settings!$B$8</f>
        <v/>
      </c>
      <c r="O7" s="58">
        <f>M7*INDEX(Vehicles!$K$5:$K$16,MATCH($B7,Vehicles!$A$5:$A$16,0))*(1+Settings!$B$18*J7)</f>
        <v/>
      </c>
      <c r="P7" s="58">
        <f>INDEX(Tolls!$B$5:$F$11,MATCH(INDEX(Vehicles!$P$5:$P$16,MATCH($B7,Vehicles!$A$5:$A$16,0)),Tolls!$A$5:$A$11,0),MATCH(INDEX(Routes!$F$5:$F$20,MATCH($C7,Routes!$A$5:$A$20,0)),Tolls!$B$4:$F$4,0))*IF(K7="Local",2,1)</f>
        <v/>
      </c>
      <c r="Q7" s="65">
        <f>M7/INDEX(Vehicles!$H$5:$H$16,MATCH($B7,Vehicles!$A$5:$A$16,0))+INDEX(Vehicles!$N$5:$N$16,MATCH($B7,Vehicles!$A$5:$A$16,0))+INDEX(Routes!$H$5:$H$20,MATCH($C7,Routes!$A$5:$A$20,0))</f>
        <v/>
      </c>
      <c r="R7" s="58">
        <f>Q7*INDEX(Vehicles!$M$5:$M$16,MATCH($B7,Vehicles!$A$5:$A$16,0))</f>
        <v/>
      </c>
      <c r="S7" s="58">
        <f>M7*INDEX(Vehicles!$L$5:$L$16,MATCH($B7,Vehicles!$A$5:$A$16,0))*(1+Settings!$B$19*J7)</f>
        <v/>
      </c>
      <c r="T7" s="58">
        <f>IF(I7&gt;H7,INDEX(Routes!$G$5:$G$20,MATCH($C7,Routes!$A$5:$A$20,0))*Settings!$B$20*(Settings!$B$21+Settings!$B$22*(I7-H7)),0)</f>
        <v/>
      </c>
      <c r="U7" s="58">
        <f>G7*Settings!$B$23*M7/100*(1+Settings!$B$24*J7)*Settings!$B$25</f>
        <v/>
      </c>
      <c r="V7" s="58">
        <f>SUM(O7:P7)+SUM(R7:U7)</f>
        <v/>
      </c>
      <c r="W7" s="58">
        <f>N7-V7</f>
        <v/>
      </c>
      <c r="X7" s="66">
        <f>IF(N7&gt;0,W7/N7,0)</f>
        <v/>
      </c>
      <c r="Y7" s="67">
        <f>Q7*60/Settings!$B$9</f>
        <v/>
      </c>
      <c r="Z7" s="58">
        <f>IF(Y7&gt;0,W7/Y7*60,0)</f>
        <v/>
      </c>
      <c r="AA7" s="67">
        <f>IF(Z7&gt;0,G7/Z7,"Never")</f>
        <v/>
      </c>
      <c r="AB7" s="42">
        <f>INDEX(Vehicles!$S$5:$S$16,MATCH($B7,Vehicles!$A$5:$A$16,0))&amp;" to "&amp;INDEX(Vehicles!$T$5:$T$16,MATCH($B7,Vehicles!$A$5:$A$16,0))</f>
        <v/>
      </c>
      <c r="AC7" s="42">
        <f>IF(NOT(ISNUMBER(AA7)),"Loses money",IF(AA7&lt;INDEX(Vehicles!$S$5:$S$16,MATCH($B7,Vehicles!$A$5:$A$16,0)),"Too fast",IF(AA7&gt;INDEX(Vehicles!$T$5:$T$16,MATCH($B7,Vehicles!$A$5:$A$16,0)),"Too slow","OK")))</f>
        <v/>
      </c>
      <c r="AD7" s="67">
        <f>24/Q7</f>
        <v/>
      </c>
      <c r="AE7" s="67">
        <f>INDEX(Routes!$I$5:$I$20,MATCH($C7,Routes!$A$5:$A$20,0))/(I7*AD7)</f>
        <v/>
      </c>
      <c r="AF7" s="42">
        <f>IF(AND(INDEX(Vehicles!$Q$5:$Q$16,MATCH($B7,Vehicles!$A$5:$A$16,0))="No",K7="Line"),"Not allowed on highway",IF(AND(K7="Line",L7&gt;Settings!$B$26),"Line haul too long",IF(ISERROR(SEARCH(","&amp;B7&amp;",",","&amp;INDEX(Cargo!$C$4:$C$15,MATCH($D7,Cargo!$A$4:$A$15,0))&amp;",")),"Cargo not allowed on this vehicle","")))</f>
        <v/>
      </c>
    </row>
    <row r="8" ht="15" customHeight="1" s="37">
      <c r="A8" s="42" t="inlineStr">
        <is>
          <t>Tier 4 typical (starter)</t>
        </is>
      </c>
      <c r="B8" s="59" t="n">
        <v>4</v>
      </c>
      <c r="C8" s="59" t="inlineStr">
        <is>
          <t>R01</t>
        </is>
      </c>
      <c r="D8" s="59" t="inlineStr">
        <is>
          <t>General dry</t>
        </is>
      </c>
      <c r="E8" s="60" t="n">
        <v>0</v>
      </c>
      <c r="F8" s="43">
        <f>INDEX(Vehicles!$B$5:$B$16,MATCH($B8,Vehicles!$A$5:$A$16,0))</f>
        <v/>
      </c>
      <c r="G8" s="44">
        <f>INDEX(Vehicles!$E$5:$E$16,MATCH($B8,Vehicles!$A$5:$A$16,0))</f>
        <v/>
      </c>
      <c r="H8" s="64">
        <f>INDEX(Vehicles!$F$5:$F$16,MATCH($B8,Vehicles!$A$5:$A$16,0))</f>
        <v/>
      </c>
      <c r="I8" s="65">
        <f>H8+MAX(0,MIN(E8,INDEX(Vehicles!$G$5:$G$16,MATCH($B8,Vehicles!$A$5:$A$16,0))-H8))</f>
        <v/>
      </c>
      <c r="J8" s="66">
        <f>(I8-H8)/H8</f>
        <v/>
      </c>
      <c r="K8" s="43">
        <f>INDEX(Routes!$E$5:$E$20,MATCH($C8,Routes!$A$5:$A$20,0))</f>
        <v/>
      </c>
      <c r="L8" s="44">
        <f>INDEX(Routes!$D$5:$D$20,MATCH($C8,Routes!$A$5:$A$20,0))</f>
        <v/>
      </c>
      <c r="M8" s="58">
        <f>IF(K8="Local",2*L8,L8)</f>
        <v/>
      </c>
      <c r="N8" s="58">
        <f>I8*(Settings!$B$6+Settings!$B$7*L8)*INDEX(Cargo!$B$4:$B$15,MATCH($D8,Cargo!$A$4:$A$15,0))*INDEX(Vehicles!$O$5:$O$16,MATCH($B8,Vehicles!$A$5:$A$16,0))*Settings!$B$8</f>
        <v/>
      </c>
      <c r="O8" s="58">
        <f>M8*INDEX(Vehicles!$K$5:$K$16,MATCH($B8,Vehicles!$A$5:$A$16,0))*(1+Settings!$B$18*J8)</f>
        <v/>
      </c>
      <c r="P8" s="58">
        <f>INDEX(Tolls!$B$5:$F$11,MATCH(INDEX(Vehicles!$P$5:$P$16,MATCH($B8,Vehicles!$A$5:$A$16,0)),Tolls!$A$5:$A$11,0),MATCH(INDEX(Routes!$F$5:$F$20,MATCH($C8,Routes!$A$5:$A$20,0)),Tolls!$B$4:$F$4,0))*IF(K8="Local",2,1)</f>
        <v/>
      </c>
      <c r="Q8" s="65">
        <f>M8/INDEX(Vehicles!$H$5:$H$16,MATCH($B8,Vehicles!$A$5:$A$16,0))+INDEX(Vehicles!$N$5:$N$16,MATCH($B8,Vehicles!$A$5:$A$16,0))+INDEX(Routes!$H$5:$H$20,MATCH($C8,Routes!$A$5:$A$20,0))</f>
        <v/>
      </c>
      <c r="R8" s="58">
        <f>Q8*INDEX(Vehicles!$M$5:$M$16,MATCH($B8,Vehicles!$A$5:$A$16,0))</f>
        <v/>
      </c>
      <c r="S8" s="58">
        <f>M8*INDEX(Vehicles!$L$5:$L$16,MATCH($B8,Vehicles!$A$5:$A$16,0))*(1+Settings!$B$19*J8)</f>
        <v/>
      </c>
      <c r="T8" s="58">
        <f>IF(I8&gt;H8,INDEX(Routes!$G$5:$G$20,MATCH($C8,Routes!$A$5:$A$20,0))*Settings!$B$20*(Settings!$B$21+Settings!$B$22*(I8-H8)),0)</f>
        <v/>
      </c>
      <c r="U8" s="58">
        <f>G8*Settings!$B$23*M8/100*(1+Settings!$B$24*J8)*Settings!$B$25</f>
        <v/>
      </c>
      <c r="V8" s="58">
        <f>SUM(O8:P8)+SUM(R8:U8)</f>
        <v/>
      </c>
      <c r="W8" s="58">
        <f>N8-V8</f>
        <v/>
      </c>
      <c r="X8" s="66">
        <f>IF(N8&gt;0,W8/N8,0)</f>
        <v/>
      </c>
      <c r="Y8" s="67">
        <f>Q8*60/Settings!$B$9</f>
        <v/>
      </c>
      <c r="Z8" s="58">
        <f>IF(Y8&gt;0,W8/Y8*60,0)</f>
        <v/>
      </c>
      <c r="AA8" s="67">
        <f>IF(Z8&gt;0,G8/Z8,"Never")</f>
        <v/>
      </c>
      <c r="AB8" s="42">
        <f>INDEX(Vehicles!$S$5:$S$16,MATCH($B8,Vehicles!$A$5:$A$16,0))&amp;" to "&amp;INDEX(Vehicles!$T$5:$T$16,MATCH($B8,Vehicles!$A$5:$A$16,0))</f>
        <v/>
      </c>
      <c r="AC8" s="42">
        <f>IF(NOT(ISNUMBER(AA8)),"Loses money",IF(AA8&lt;INDEX(Vehicles!$S$5:$S$16,MATCH($B8,Vehicles!$A$5:$A$16,0)),"Too fast",IF(AA8&gt;INDEX(Vehicles!$T$5:$T$16,MATCH($B8,Vehicles!$A$5:$A$16,0)),"Too slow","OK")))</f>
        <v/>
      </c>
      <c r="AD8" s="67">
        <f>24/Q8</f>
        <v/>
      </c>
      <c r="AE8" s="67">
        <f>INDEX(Routes!$I$5:$I$20,MATCH($C8,Routes!$A$5:$A$20,0))/(I8*AD8)</f>
        <v/>
      </c>
      <c r="AF8" s="42">
        <f>IF(AND(INDEX(Vehicles!$Q$5:$Q$16,MATCH($B8,Vehicles!$A$5:$A$16,0))="No",K8="Line"),"Not allowed on highway",IF(AND(K8="Line",L8&gt;Settings!$B$26),"Line haul too long",IF(ISERROR(SEARCH(","&amp;B8&amp;",",","&amp;INDEX(Cargo!$C$4:$C$15,MATCH($D8,Cargo!$A$4:$A$15,0))&amp;",")),"Cargo not allowed on this vehicle","")))</f>
        <v/>
      </c>
    </row>
    <row r="9" ht="15" customHeight="1" s="37">
      <c r="A9" s="42" t="inlineStr">
        <is>
          <t>Tier 5 typical</t>
        </is>
      </c>
      <c r="B9" s="59" t="n">
        <v>5</v>
      </c>
      <c r="C9" s="59" t="inlineStr">
        <is>
          <t>R04</t>
        </is>
      </c>
      <c r="D9" s="59" t="inlineStr">
        <is>
          <t>Parcels</t>
        </is>
      </c>
      <c r="E9" s="60" t="n">
        <v>0</v>
      </c>
      <c r="F9" s="43">
        <f>INDEX(Vehicles!$B$5:$B$16,MATCH($B9,Vehicles!$A$5:$A$16,0))</f>
        <v/>
      </c>
      <c r="G9" s="44">
        <f>INDEX(Vehicles!$E$5:$E$16,MATCH($B9,Vehicles!$A$5:$A$16,0))</f>
        <v/>
      </c>
      <c r="H9" s="64">
        <f>INDEX(Vehicles!$F$5:$F$16,MATCH($B9,Vehicles!$A$5:$A$16,0))</f>
        <v/>
      </c>
      <c r="I9" s="65">
        <f>H9+MAX(0,MIN(E9,INDEX(Vehicles!$G$5:$G$16,MATCH($B9,Vehicles!$A$5:$A$16,0))-H9))</f>
        <v/>
      </c>
      <c r="J9" s="66">
        <f>(I9-H9)/H9</f>
        <v/>
      </c>
      <c r="K9" s="43">
        <f>INDEX(Routes!$E$5:$E$20,MATCH($C9,Routes!$A$5:$A$20,0))</f>
        <v/>
      </c>
      <c r="L9" s="44">
        <f>INDEX(Routes!$D$5:$D$20,MATCH($C9,Routes!$A$5:$A$20,0))</f>
        <v/>
      </c>
      <c r="M9" s="58">
        <f>IF(K9="Local",2*L9,L9)</f>
        <v/>
      </c>
      <c r="N9" s="58">
        <f>I9*(Settings!$B$6+Settings!$B$7*L9)*INDEX(Cargo!$B$4:$B$15,MATCH($D9,Cargo!$A$4:$A$15,0))*INDEX(Vehicles!$O$5:$O$16,MATCH($B9,Vehicles!$A$5:$A$16,0))*Settings!$B$8</f>
        <v/>
      </c>
      <c r="O9" s="58">
        <f>M9*INDEX(Vehicles!$K$5:$K$16,MATCH($B9,Vehicles!$A$5:$A$16,0))*(1+Settings!$B$18*J9)</f>
        <v/>
      </c>
      <c r="P9" s="58">
        <f>INDEX(Tolls!$B$5:$F$11,MATCH(INDEX(Vehicles!$P$5:$P$16,MATCH($B9,Vehicles!$A$5:$A$16,0)),Tolls!$A$5:$A$11,0),MATCH(INDEX(Routes!$F$5:$F$20,MATCH($C9,Routes!$A$5:$A$20,0)),Tolls!$B$4:$F$4,0))*IF(K9="Local",2,1)</f>
        <v/>
      </c>
      <c r="Q9" s="65">
        <f>M9/INDEX(Vehicles!$H$5:$H$16,MATCH($B9,Vehicles!$A$5:$A$16,0))+INDEX(Vehicles!$N$5:$N$16,MATCH($B9,Vehicles!$A$5:$A$16,0))+INDEX(Routes!$H$5:$H$20,MATCH($C9,Routes!$A$5:$A$20,0))</f>
        <v/>
      </c>
      <c r="R9" s="58">
        <f>Q9*INDEX(Vehicles!$M$5:$M$16,MATCH($B9,Vehicles!$A$5:$A$16,0))</f>
        <v/>
      </c>
      <c r="S9" s="58">
        <f>M9*INDEX(Vehicles!$L$5:$L$16,MATCH($B9,Vehicles!$A$5:$A$16,0))*(1+Settings!$B$19*J9)</f>
        <v/>
      </c>
      <c r="T9" s="58">
        <f>IF(I9&gt;H9,INDEX(Routes!$G$5:$G$20,MATCH($C9,Routes!$A$5:$A$20,0))*Settings!$B$20*(Settings!$B$21+Settings!$B$22*(I9-H9)),0)</f>
        <v/>
      </c>
      <c r="U9" s="58">
        <f>G9*Settings!$B$23*M9/100*(1+Settings!$B$24*J9)*Settings!$B$25</f>
        <v/>
      </c>
      <c r="V9" s="58">
        <f>SUM(O9:P9)+SUM(R9:U9)</f>
        <v/>
      </c>
      <c r="W9" s="58">
        <f>N9-V9</f>
        <v/>
      </c>
      <c r="X9" s="66">
        <f>IF(N9&gt;0,W9/N9,0)</f>
        <v/>
      </c>
      <c r="Y9" s="67">
        <f>Q9*60/Settings!$B$9</f>
        <v/>
      </c>
      <c r="Z9" s="58">
        <f>IF(Y9&gt;0,W9/Y9*60,0)</f>
        <v/>
      </c>
      <c r="AA9" s="67">
        <f>IF(Z9&gt;0,G9/Z9,"Never")</f>
        <v/>
      </c>
      <c r="AB9" s="42">
        <f>INDEX(Vehicles!$S$5:$S$16,MATCH($B9,Vehicles!$A$5:$A$16,0))&amp;" to "&amp;INDEX(Vehicles!$T$5:$T$16,MATCH($B9,Vehicles!$A$5:$A$16,0))</f>
        <v/>
      </c>
      <c r="AC9" s="42">
        <f>IF(NOT(ISNUMBER(AA9)),"Loses money",IF(AA9&lt;INDEX(Vehicles!$S$5:$S$16,MATCH($B9,Vehicles!$A$5:$A$16,0)),"Too fast",IF(AA9&gt;INDEX(Vehicles!$T$5:$T$16,MATCH($B9,Vehicles!$A$5:$A$16,0)),"Too slow","OK")))</f>
        <v/>
      </c>
      <c r="AD9" s="67">
        <f>24/Q9</f>
        <v/>
      </c>
      <c r="AE9" s="67">
        <f>INDEX(Routes!$I$5:$I$20,MATCH($C9,Routes!$A$5:$A$20,0))/(I9*AD9)</f>
        <v/>
      </c>
      <c r="AF9" s="42">
        <f>IF(AND(INDEX(Vehicles!$Q$5:$Q$16,MATCH($B9,Vehicles!$A$5:$A$16,0))="No",K9="Line"),"Not allowed on highway",IF(AND(K9="Line",L9&gt;Settings!$B$26),"Line haul too long",IF(ISERROR(SEARCH(","&amp;B9&amp;",",","&amp;INDEX(Cargo!$C$4:$C$15,MATCH($D9,Cargo!$A$4:$A$15,0))&amp;",")),"Cargo not allowed on this vehicle","")))</f>
        <v/>
      </c>
    </row>
    <row r="10" ht="15" customHeight="1" s="37">
      <c r="A10" s="42" t="inlineStr">
        <is>
          <t>Tier 6 typical</t>
        </is>
      </c>
      <c r="B10" s="59" t="n">
        <v>6</v>
      </c>
      <c r="C10" s="59" t="inlineStr">
        <is>
          <t>R05</t>
        </is>
      </c>
      <c r="D10" s="59" t="inlineStr">
        <is>
          <t>General dry</t>
        </is>
      </c>
      <c r="E10" s="60" t="n">
        <v>0</v>
      </c>
      <c r="F10" s="43">
        <f>INDEX(Vehicles!$B$5:$B$16,MATCH($B10,Vehicles!$A$5:$A$16,0))</f>
        <v/>
      </c>
      <c r="G10" s="44">
        <f>INDEX(Vehicles!$E$5:$E$16,MATCH($B10,Vehicles!$A$5:$A$16,0))</f>
        <v/>
      </c>
      <c r="H10" s="64">
        <f>INDEX(Vehicles!$F$5:$F$16,MATCH($B10,Vehicles!$A$5:$A$16,0))</f>
        <v/>
      </c>
      <c r="I10" s="65">
        <f>H10+MAX(0,MIN(E10,INDEX(Vehicles!$G$5:$G$16,MATCH($B10,Vehicles!$A$5:$A$16,0))-H10))</f>
        <v/>
      </c>
      <c r="J10" s="66">
        <f>(I10-H10)/H10</f>
        <v/>
      </c>
      <c r="K10" s="43">
        <f>INDEX(Routes!$E$5:$E$20,MATCH($C10,Routes!$A$5:$A$20,0))</f>
        <v/>
      </c>
      <c r="L10" s="44">
        <f>INDEX(Routes!$D$5:$D$20,MATCH($C10,Routes!$A$5:$A$20,0))</f>
        <v/>
      </c>
      <c r="M10" s="58">
        <f>IF(K10="Local",2*L10,L10)</f>
        <v/>
      </c>
      <c r="N10" s="58">
        <f>I10*(Settings!$B$6+Settings!$B$7*L10)*INDEX(Cargo!$B$4:$B$15,MATCH($D10,Cargo!$A$4:$A$15,0))*INDEX(Vehicles!$O$5:$O$16,MATCH($B10,Vehicles!$A$5:$A$16,0))*Settings!$B$8</f>
        <v/>
      </c>
      <c r="O10" s="58">
        <f>M10*INDEX(Vehicles!$K$5:$K$16,MATCH($B10,Vehicles!$A$5:$A$16,0))*(1+Settings!$B$18*J10)</f>
        <v/>
      </c>
      <c r="P10" s="58">
        <f>INDEX(Tolls!$B$5:$F$11,MATCH(INDEX(Vehicles!$P$5:$P$16,MATCH($B10,Vehicles!$A$5:$A$16,0)),Tolls!$A$5:$A$11,0),MATCH(INDEX(Routes!$F$5:$F$20,MATCH($C10,Routes!$A$5:$A$20,0)),Tolls!$B$4:$F$4,0))*IF(K10="Local",2,1)</f>
        <v/>
      </c>
      <c r="Q10" s="65">
        <f>M10/INDEX(Vehicles!$H$5:$H$16,MATCH($B10,Vehicles!$A$5:$A$16,0))+INDEX(Vehicles!$N$5:$N$16,MATCH($B10,Vehicles!$A$5:$A$16,0))+INDEX(Routes!$H$5:$H$20,MATCH($C10,Routes!$A$5:$A$20,0))</f>
        <v/>
      </c>
      <c r="R10" s="58">
        <f>Q10*INDEX(Vehicles!$M$5:$M$16,MATCH($B10,Vehicles!$A$5:$A$16,0))</f>
        <v/>
      </c>
      <c r="S10" s="58">
        <f>M10*INDEX(Vehicles!$L$5:$L$16,MATCH($B10,Vehicles!$A$5:$A$16,0))*(1+Settings!$B$19*J10)</f>
        <v/>
      </c>
      <c r="T10" s="58">
        <f>IF(I10&gt;H10,INDEX(Routes!$G$5:$G$20,MATCH($C10,Routes!$A$5:$A$20,0))*Settings!$B$20*(Settings!$B$21+Settings!$B$22*(I10-H10)),0)</f>
        <v/>
      </c>
      <c r="U10" s="58">
        <f>G10*Settings!$B$23*M10/100*(1+Settings!$B$24*J10)*Settings!$B$25</f>
        <v/>
      </c>
      <c r="V10" s="58">
        <f>SUM(O10:P10)+SUM(R10:U10)</f>
        <v/>
      </c>
      <c r="W10" s="58">
        <f>N10-V10</f>
        <v/>
      </c>
      <c r="X10" s="66">
        <f>IF(N10&gt;0,W10/N10,0)</f>
        <v/>
      </c>
      <c r="Y10" s="67">
        <f>Q10*60/Settings!$B$9</f>
        <v/>
      </c>
      <c r="Z10" s="58">
        <f>IF(Y10&gt;0,W10/Y10*60,0)</f>
        <v/>
      </c>
      <c r="AA10" s="67">
        <f>IF(Z10&gt;0,G10/Z10,"Never")</f>
        <v/>
      </c>
      <c r="AB10" s="42">
        <f>INDEX(Vehicles!$S$5:$S$16,MATCH($B10,Vehicles!$A$5:$A$16,0))&amp;" to "&amp;INDEX(Vehicles!$T$5:$T$16,MATCH($B10,Vehicles!$A$5:$A$16,0))</f>
        <v/>
      </c>
      <c r="AC10" s="42">
        <f>IF(NOT(ISNUMBER(AA10)),"Loses money",IF(AA10&lt;INDEX(Vehicles!$S$5:$S$16,MATCH($B10,Vehicles!$A$5:$A$16,0)),"Too fast",IF(AA10&gt;INDEX(Vehicles!$T$5:$T$16,MATCH($B10,Vehicles!$A$5:$A$16,0)),"Too slow","OK")))</f>
        <v/>
      </c>
      <c r="AD10" s="67">
        <f>24/Q10</f>
        <v/>
      </c>
      <c r="AE10" s="67">
        <f>INDEX(Routes!$I$5:$I$20,MATCH($C10,Routes!$A$5:$A$20,0))/(I10*AD10)</f>
        <v/>
      </c>
      <c r="AF10" s="42">
        <f>IF(AND(INDEX(Vehicles!$Q$5:$Q$16,MATCH($B10,Vehicles!$A$5:$A$16,0))="No",K10="Line"),"Not allowed on highway",IF(AND(K10="Line",L10&gt;Settings!$B$26),"Line haul too long",IF(ISERROR(SEARCH(","&amp;B10&amp;",",","&amp;INDEX(Cargo!$C$4:$C$15,MATCH($D10,Cargo!$A$4:$A$15,0))&amp;",")),"Cargo not allowed on this vehicle","")))</f>
        <v/>
      </c>
    </row>
    <row r="11" ht="15" customHeight="1" s="37">
      <c r="A11" s="42" t="inlineStr">
        <is>
          <t>Tier 7 typical</t>
        </is>
      </c>
      <c r="B11" s="59" t="n">
        <v>7</v>
      </c>
      <c r="C11" s="59" t="inlineStr">
        <is>
          <t>R06</t>
        </is>
      </c>
      <c r="D11" s="59" t="inlineStr">
        <is>
          <t>Garments</t>
        </is>
      </c>
      <c r="E11" s="60" t="n">
        <v>0</v>
      </c>
      <c r="F11" s="43">
        <f>INDEX(Vehicles!$B$5:$B$16,MATCH($B11,Vehicles!$A$5:$A$16,0))</f>
        <v/>
      </c>
      <c r="G11" s="44">
        <f>INDEX(Vehicles!$E$5:$E$16,MATCH($B11,Vehicles!$A$5:$A$16,0))</f>
        <v/>
      </c>
      <c r="H11" s="64">
        <f>INDEX(Vehicles!$F$5:$F$16,MATCH($B11,Vehicles!$A$5:$A$16,0))</f>
        <v/>
      </c>
      <c r="I11" s="65">
        <f>H11+MAX(0,MIN(E11,INDEX(Vehicles!$G$5:$G$16,MATCH($B11,Vehicles!$A$5:$A$16,0))-H11))</f>
        <v/>
      </c>
      <c r="J11" s="66">
        <f>(I11-H11)/H11</f>
        <v/>
      </c>
      <c r="K11" s="43">
        <f>INDEX(Routes!$E$5:$E$20,MATCH($C11,Routes!$A$5:$A$20,0))</f>
        <v/>
      </c>
      <c r="L11" s="44">
        <f>INDEX(Routes!$D$5:$D$20,MATCH($C11,Routes!$A$5:$A$20,0))</f>
        <v/>
      </c>
      <c r="M11" s="58">
        <f>IF(K11="Local",2*L11,L11)</f>
        <v/>
      </c>
      <c r="N11" s="58">
        <f>I11*(Settings!$B$6+Settings!$B$7*L11)*INDEX(Cargo!$B$4:$B$15,MATCH($D11,Cargo!$A$4:$A$15,0))*INDEX(Vehicles!$O$5:$O$16,MATCH($B11,Vehicles!$A$5:$A$16,0))*Settings!$B$8</f>
        <v/>
      </c>
      <c r="O11" s="58">
        <f>M11*INDEX(Vehicles!$K$5:$K$16,MATCH($B11,Vehicles!$A$5:$A$16,0))*(1+Settings!$B$18*J11)</f>
        <v/>
      </c>
      <c r="P11" s="58">
        <f>INDEX(Tolls!$B$5:$F$11,MATCH(INDEX(Vehicles!$P$5:$P$16,MATCH($B11,Vehicles!$A$5:$A$16,0)),Tolls!$A$5:$A$11,0),MATCH(INDEX(Routes!$F$5:$F$20,MATCH($C11,Routes!$A$5:$A$20,0)),Tolls!$B$4:$F$4,0))*IF(K11="Local",2,1)</f>
        <v/>
      </c>
      <c r="Q11" s="65">
        <f>M11/INDEX(Vehicles!$H$5:$H$16,MATCH($B11,Vehicles!$A$5:$A$16,0))+INDEX(Vehicles!$N$5:$N$16,MATCH($B11,Vehicles!$A$5:$A$16,0))+INDEX(Routes!$H$5:$H$20,MATCH($C11,Routes!$A$5:$A$20,0))</f>
        <v/>
      </c>
      <c r="R11" s="58">
        <f>Q11*INDEX(Vehicles!$M$5:$M$16,MATCH($B11,Vehicles!$A$5:$A$16,0))</f>
        <v/>
      </c>
      <c r="S11" s="58">
        <f>M11*INDEX(Vehicles!$L$5:$L$16,MATCH($B11,Vehicles!$A$5:$A$16,0))*(1+Settings!$B$19*J11)</f>
        <v/>
      </c>
      <c r="T11" s="58">
        <f>IF(I11&gt;H11,INDEX(Routes!$G$5:$G$20,MATCH($C11,Routes!$A$5:$A$20,0))*Settings!$B$20*(Settings!$B$21+Settings!$B$22*(I11-H11)),0)</f>
        <v/>
      </c>
      <c r="U11" s="58">
        <f>G11*Settings!$B$23*M11/100*(1+Settings!$B$24*J11)*Settings!$B$25</f>
        <v/>
      </c>
      <c r="V11" s="58">
        <f>SUM(O11:P11)+SUM(R11:U11)</f>
        <v/>
      </c>
      <c r="W11" s="58">
        <f>N11-V11</f>
        <v/>
      </c>
      <c r="X11" s="66">
        <f>IF(N11&gt;0,W11/N11,0)</f>
        <v/>
      </c>
      <c r="Y11" s="67">
        <f>Q11*60/Settings!$B$9</f>
        <v/>
      </c>
      <c r="Z11" s="58">
        <f>IF(Y11&gt;0,W11/Y11*60,0)</f>
        <v/>
      </c>
      <c r="AA11" s="67">
        <f>IF(Z11&gt;0,G11/Z11,"Never")</f>
        <v/>
      </c>
      <c r="AB11" s="42">
        <f>INDEX(Vehicles!$S$5:$S$16,MATCH($B11,Vehicles!$A$5:$A$16,0))&amp;" to "&amp;INDEX(Vehicles!$T$5:$T$16,MATCH($B11,Vehicles!$A$5:$A$16,0))</f>
        <v/>
      </c>
      <c r="AC11" s="42">
        <f>IF(NOT(ISNUMBER(AA11)),"Loses money",IF(AA11&lt;INDEX(Vehicles!$S$5:$S$16,MATCH($B11,Vehicles!$A$5:$A$16,0)),"Too fast",IF(AA11&gt;INDEX(Vehicles!$T$5:$T$16,MATCH($B11,Vehicles!$A$5:$A$16,0)),"Too slow","OK")))</f>
        <v/>
      </c>
      <c r="AD11" s="67">
        <f>24/Q11</f>
        <v/>
      </c>
      <c r="AE11" s="67">
        <f>INDEX(Routes!$I$5:$I$20,MATCH($C11,Routes!$A$5:$A$20,0))/(I11*AD11)</f>
        <v/>
      </c>
      <c r="AF11" s="42">
        <f>IF(AND(INDEX(Vehicles!$Q$5:$Q$16,MATCH($B11,Vehicles!$A$5:$A$16,0))="No",K11="Line"),"Not allowed on highway",IF(AND(K11="Line",L11&gt;Settings!$B$26),"Line haul too long",IF(ISERROR(SEARCH(","&amp;B11&amp;",",","&amp;INDEX(Cargo!$C$4:$C$15,MATCH($D11,Cargo!$A$4:$A$15,0))&amp;",")),"Cargo not allowed on this vehicle","")))</f>
        <v/>
      </c>
    </row>
    <row r="12" ht="15" customHeight="1" s="37">
      <c r="A12" s="42" t="inlineStr">
        <is>
          <t>Tier 8 typical</t>
        </is>
      </c>
      <c r="B12" s="59" t="n">
        <v>8</v>
      </c>
      <c r="C12" s="59" t="inlineStr">
        <is>
          <t>R10</t>
        </is>
      </c>
      <c r="D12" s="59" t="inlineStr">
        <is>
          <t>Fish</t>
        </is>
      </c>
      <c r="E12" s="60" t="n">
        <v>0</v>
      </c>
      <c r="F12" s="43">
        <f>INDEX(Vehicles!$B$5:$B$16,MATCH($B12,Vehicles!$A$5:$A$16,0))</f>
        <v/>
      </c>
      <c r="G12" s="44">
        <f>INDEX(Vehicles!$E$5:$E$16,MATCH($B12,Vehicles!$A$5:$A$16,0))</f>
        <v/>
      </c>
      <c r="H12" s="64">
        <f>INDEX(Vehicles!$F$5:$F$16,MATCH($B12,Vehicles!$A$5:$A$16,0))</f>
        <v/>
      </c>
      <c r="I12" s="65">
        <f>H12+MAX(0,MIN(E12,INDEX(Vehicles!$G$5:$G$16,MATCH($B12,Vehicles!$A$5:$A$16,0))-H12))</f>
        <v/>
      </c>
      <c r="J12" s="66">
        <f>(I12-H12)/H12</f>
        <v/>
      </c>
      <c r="K12" s="43">
        <f>INDEX(Routes!$E$5:$E$20,MATCH($C12,Routes!$A$5:$A$20,0))</f>
        <v/>
      </c>
      <c r="L12" s="44">
        <f>INDEX(Routes!$D$5:$D$20,MATCH($C12,Routes!$A$5:$A$20,0))</f>
        <v/>
      </c>
      <c r="M12" s="58">
        <f>IF(K12="Local",2*L12,L12)</f>
        <v/>
      </c>
      <c r="N12" s="58">
        <f>I12*(Settings!$B$6+Settings!$B$7*L12)*INDEX(Cargo!$B$4:$B$15,MATCH($D12,Cargo!$A$4:$A$15,0))*INDEX(Vehicles!$O$5:$O$16,MATCH($B12,Vehicles!$A$5:$A$16,0))*Settings!$B$8</f>
        <v/>
      </c>
      <c r="O12" s="58">
        <f>M12*INDEX(Vehicles!$K$5:$K$16,MATCH($B12,Vehicles!$A$5:$A$16,0))*(1+Settings!$B$18*J12)</f>
        <v/>
      </c>
      <c r="P12" s="58">
        <f>INDEX(Tolls!$B$5:$F$11,MATCH(INDEX(Vehicles!$P$5:$P$16,MATCH($B12,Vehicles!$A$5:$A$16,0)),Tolls!$A$5:$A$11,0),MATCH(INDEX(Routes!$F$5:$F$20,MATCH($C12,Routes!$A$5:$A$20,0)),Tolls!$B$4:$F$4,0))*IF(K12="Local",2,1)</f>
        <v/>
      </c>
      <c r="Q12" s="65">
        <f>M12/INDEX(Vehicles!$H$5:$H$16,MATCH($B12,Vehicles!$A$5:$A$16,0))+INDEX(Vehicles!$N$5:$N$16,MATCH($B12,Vehicles!$A$5:$A$16,0))+INDEX(Routes!$H$5:$H$20,MATCH($C12,Routes!$A$5:$A$20,0))</f>
        <v/>
      </c>
      <c r="R12" s="58">
        <f>Q12*INDEX(Vehicles!$M$5:$M$16,MATCH($B12,Vehicles!$A$5:$A$16,0))</f>
        <v/>
      </c>
      <c r="S12" s="58">
        <f>M12*INDEX(Vehicles!$L$5:$L$16,MATCH($B12,Vehicles!$A$5:$A$16,0))*(1+Settings!$B$19*J12)</f>
        <v/>
      </c>
      <c r="T12" s="58">
        <f>IF(I12&gt;H12,INDEX(Routes!$G$5:$G$20,MATCH($C12,Routes!$A$5:$A$20,0))*Settings!$B$20*(Settings!$B$21+Settings!$B$22*(I12-H12)),0)</f>
        <v/>
      </c>
      <c r="U12" s="58">
        <f>G12*Settings!$B$23*M12/100*(1+Settings!$B$24*J12)*Settings!$B$25</f>
        <v/>
      </c>
      <c r="V12" s="58">
        <f>SUM(O12:P12)+SUM(R12:U12)</f>
        <v/>
      </c>
      <c r="W12" s="58">
        <f>N12-V12</f>
        <v/>
      </c>
      <c r="X12" s="66">
        <f>IF(N12&gt;0,W12/N12,0)</f>
        <v/>
      </c>
      <c r="Y12" s="67">
        <f>Q12*60/Settings!$B$9</f>
        <v/>
      </c>
      <c r="Z12" s="58">
        <f>IF(Y12&gt;0,W12/Y12*60,0)</f>
        <v/>
      </c>
      <c r="AA12" s="67">
        <f>IF(Z12&gt;0,G12/Z12,"Never")</f>
        <v/>
      </c>
      <c r="AB12" s="42">
        <f>INDEX(Vehicles!$S$5:$S$16,MATCH($B12,Vehicles!$A$5:$A$16,0))&amp;" to "&amp;INDEX(Vehicles!$T$5:$T$16,MATCH($B12,Vehicles!$A$5:$A$16,0))</f>
        <v/>
      </c>
      <c r="AC12" s="42">
        <f>IF(NOT(ISNUMBER(AA12)),"Loses money",IF(AA12&lt;INDEX(Vehicles!$S$5:$S$16,MATCH($B12,Vehicles!$A$5:$A$16,0)),"Too fast",IF(AA12&gt;INDEX(Vehicles!$T$5:$T$16,MATCH($B12,Vehicles!$A$5:$A$16,0)),"Too slow","OK")))</f>
        <v/>
      </c>
      <c r="AD12" s="67">
        <f>24/Q12</f>
        <v/>
      </c>
      <c r="AE12" s="67">
        <f>INDEX(Routes!$I$5:$I$20,MATCH($C12,Routes!$A$5:$A$20,0))/(I12*AD12)</f>
        <v/>
      </c>
      <c r="AF12" s="42">
        <f>IF(AND(INDEX(Vehicles!$Q$5:$Q$16,MATCH($B12,Vehicles!$A$5:$A$16,0))="No",K12="Line"),"Not allowed on highway",IF(AND(K12="Line",L12&gt;Settings!$B$26),"Line haul too long",IF(ISERROR(SEARCH(","&amp;B12&amp;",",","&amp;INDEX(Cargo!$C$4:$C$15,MATCH($D12,Cargo!$A$4:$A$15,0))&amp;",")),"Cargo not allowed on this vehicle","")))</f>
        <v/>
      </c>
    </row>
    <row r="13" ht="15" customHeight="1" s="37">
      <c r="A13" s="42" t="inlineStr">
        <is>
          <t>Tier 9 typical</t>
        </is>
      </c>
      <c r="B13" s="59" t="n">
        <v>9</v>
      </c>
      <c r="C13" s="59" t="inlineStr">
        <is>
          <t>R14</t>
        </is>
      </c>
      <c r="D13" s="59" t="inlineStr">
        <is>
          <t>Sand and stone</t>
        </is>
      </c>
      <c r="E13" s="60" t="n">
        <v>0</v>
      </c>
      <c r="F13" s="43">
        <f>INDEX(Vehicles!$B$5:$B$16,MATCH($B13,Vehicles!$A$5:$A$16,0))</f>
        <v/>
      </c>
      <c r="G13" s="44">
        <f>INDEX(Vehicles!$E$5:$E$16,MATCH($B13,Vehicles!$A$5:$A$16,0))</f>
        <v/>
      </c>
      <c r="H13" s="64">
        <f>INDEX(Vehicles!$F$5:$F$16,MATCH($B13,Vehicles!$A$5:$A$16,0))</f>
        <v/>
      </c>
      <c r="I13" s="65">
        <f>H13+MAX(0,MIN(E13,INDEX(Vehicles!$G$5:$G$16,MATCH($B13,Vehicles!$A$5:$A$16,0))-H13))</f>
        <v/>
      </c>
      <c r="J13" s="66">
        <f>(I13-H13)/H13</f>
        <v/>
      </c>
      <c r="K13" s="43">
        <f>INDEX(Routes!$E$5:$E$20,MATCH($C13,Routes!$A$5:$A$20,0))</f>
        <v/>
      </c>
      <c r="L13" s="44">
        <f>INDEX(Routes!$D$5:$D$20,MATCH($C13,Routes!$A$5:$A$20,0))</f>
        <v/>
      </c>
      <c r="M13" s="58">
        <f>IF(K13="Local",2*L13,L13)</f>
        <v/>
      </c>
      <c r="N13" s="58">
        <f>I13*(Settings!$B$6+Settings!$B$7*L13)*INDEX(Cargo!$B$4:$B$15,MATCH($D13,Cargo!$A$4:$A$15,0))*INDEX(Vehicles!$O$5:$O$16,MATCH($B13,Vehicles!$A$5:$A$16,0))*Settings!$B$8</f>
        <v/>
      </c>
      <c r="O13" s="58">
        <f>M13*INDEX(Vehicles!$K$5:$K$16,MATCH($B13,Vehicles!$A$5:$A$16,0))*(1+Settings!$B$18*J13)</f>
        <v/>
      </c>
      <c r="P13" s="58">
        <f>INDEX(Tolls!$B$5:$F$11,MATCH(INDEX(Vehicles!$P$5:$P$16,MATCH($B13,Vehicles!$A$5:$A$16,0)),Tolls!$A$5:$A$11,0),MATCH(INDEX(Routes!$F$5:$F$20,MATCH($C13,Routes!$A$5:$A$20,0)),Tolls!$B$4:$F$4,0))*IF(K13="Local",2,1)</f>
        <v/>
      </c>
      <c r="Q13" s="65">
        <f>M13/INDEX(Vehicles!$H$5:$H$16,MATCH($B13,Vehicles!$A$5:$A$16,0))+INDEX(Vehicles!$N$5:$N$16,MATCH($B13,Vehicles!$A$5:$A$16,0))+INDEX(Routes!$H$5:$H$20,MATCH($C13,Routes!$A$5:$A$20,0))</f>
        <v/>
      </c>
      <c r="R13" s="58">
        <f>Q13*INDEX(Vehicles!$M$5:$M$16,MATCH($B13,Vehicles!$A$5:$A$16,0))</f>
        <v/>
      </c>
      <c r="S13" s="58">
        <f>M13*INDEX(Vehicles!$L$5:$L$16,MATCH($B13,Vehicles!$A$5:$A$16,0))*(1+Settings!$B$19*J13)</f>
        <v/>
      </c>
      <c r="T13" s="58">
        <f>IF(I13&gt;H13,INDEX(Routes!$G$5:$G$20,MATCH($C13,Routes!$A$5:$A$20,0))*Settings!$B$20*(Settings!$B$21+Settings!$B$22*(I13-H13)),0)</f>
        <v/>
      </c>
      <c r="U13" s="58">
        <f>G13*Settings!$B$23*M13/100*(1+Settings!$B$24*J13)*Settings!$B$25</f>
        <v/>
      </c>
      <c r="V13" s="58">
        <f>SUM(O13:P13)+SUM(R13:U13)</f>
        <v/>
      </c>
      <c r="W13" s="58">
        <f>N13-V13</f>
        <v/>
      </c>
      <c r="X13" s="66">
        <f>IF(N13&gt;0,W13/N13,0)</f>
        <v/>
      </c>
      <c r="Y13" s="67">
        <f>Q13*60/Settings!$B$9</f>
        <v/>
      </c>
      <c r="Z13" s="58">
        <f>IF(Y13&gt;0,W13/Y13*60,0)</f>
        <v/>
      </c>
      <c r="AA13" s="67">
        <f>IF(Z13&gt;0,G13/Z13,"Never")</f>
        <v/>
      </c>
      <c r="AB13" s="42">
        <f>INDEX(Vehicles!$S$5:$S$16,MATCH($B13,Vehicles!$A$5:$A$16,0))&amp;" to "&amp;INDEX(Vehicles!$T$5:$T$16,MATCH($B13,Vehicles!$A$5:$A$16,0))</f>
        <v/>
      </c>
      <c r="AC13" s="42">
        <f>IF(NOT(ISNUMBER(AA13)),"Loses money",IF(AA13&lt;INDEX(Vehicles!$S$5:$S$16,MATCH($B13,Vehicles!$A$5:$A$16,0)),"Too fast",IF(AA13&gt;INDEX(Vehicles!$T$5:$T$16,MATCH($B13,Vehicles!$A$5:$A$16,0)),"Too slow","OK")))</f>
        <v/>
      </c>
      <c r="AD13" s="67">
        <f>24/Q13</f>
        <v/>
      </c>
      <c r="AE13" s="67">
        <f>INDEX(Routes!$I$5:$I$20,MATCH($C13,Routes!$A$5:$A$20,0))/(I13*AD13)</f>
        <v/>
      </c>
      <c r="AF13" s="42">
        <f>IF(AND(INDEX(Vehicles!$Q$5:$Q$16,MATCH($B13,Vehicles!$A$5:$A$16,0))="No",K13="Line"),"Not allowed on highway",IF(AND(K13="Line",L13&gt;Settings!$B$26),"Line haul too long",IF(ISERROR(SEARCH(","&amp;B13&amp;",",","&amp;INDEX(Cargo!$C$4:$C$15,MATCH($D13,Cargo!$A$4:$A$15,0))&amp;",")),"Cargo not allowed on this vehicle","")))</f>
        <v/>
      </c>
    </row>
    <row r="14" ht="15" customHeight="1" s="37">
      <c r="A14" s="42" t="inlineStr">
        <is>
          <t>Tier 10 typical</t>
        </is>
      </c>
      <c r="B14" s="59" t="n">
        <v>10</v>
      </c>
      <c r="C14" s="59" t="inlineStr">
        <is>
          <t>R05</t>
        </is>
      </c>
      <c r="D14" s="59" t="inlineStr">
        <is>
          <t>Fuel</t>
        </is>
      </c>
      <c r="E14" s="60" t="n">
        <v>0</v>
      </c>
      <c r="F14" s="43">
        <f>INDEX(Vehicles!$B$5:$B$16,MATCH($B14,Vehicles!$A$5:$A$16,0))</f>
        <v/>
      </c>
      <c r="G14" s="44">
        <f>INDEX(Vehicles!$E$5:$E$16,MATCH($B14,Vehicles!$A$5:$A$16,0))</f>
        <v/>
      </c>
      <c r="H14" s="64">
        <f>INDEX(Vehicles!$F$5:$F$16,MATCH($B14,Vehicles!$A$5:$A$16,0))</f>
        <v/>
      </c>
      <c r="I14" s="65">
        <f>H14+MAX(0,MIN(E14,INDEX(Vehicles!$G$5:$G$16,MATCH($B14,Vehicles!$A$5:$A$16,0))-H14))</f>
        <v/>
      </c>
      <c r="J14" s="66">
        <f>(I14-H14)/H14</f>
        <v/>
      </c>
      <c r="K14" s="43">
        <f>INDEX(Routes!$E$5:$E$20,MATCH($C14,Routes!$A$5:$A$20,0))</f>
        <v/>
      </c>
      <c r="L14" s="44">
        <f>INDEX(Routes!$D$5:$D$20,MATCH($C14,Routes!$A$5:$A$20,0))</f>
        <v/>
      </c>
      <c r="M14" s="58">
        <f>IF(K14="Local",2*L14,L14)</f>
        <v/>
      </c>
      <c r="N14" s="58">
        <f>I14*(Settings!$B$6+Settings!$B$7*L14)*INDEX(Cargo!$B$4:$B$15,MATCH($D14,Cargo!$A$4:$A$15,0))*INDEX(Vehicles!$O$5:$O$16,MATCH($B14,Vehicles!$A$5:$A$16,0))*Settings!$B$8</f>
        <v/>
      </c>
      <c r="O14" s="58">
        <f>M14*INDEX(Vehicles!$K$5:$K$16,MATCH($B14,Vehicles!$A$5:$A$16,0))*(1+Settings!$B$18*J14)</f>
        <v/>
      </c>
      <c r="P14" s="58">
        <f>INDEX(Tolls!$B$5:$F$11,MATCH(INDEX(Vehicles!$P$5:$P$16,MATCH($B14,Vehicles!$A$5:$A$16,0)),Tolls!$A$5:$A$11,0),MATCH(INDEX(Routes!$F$5:$F$20,MATCH($C14,Routes!$A$5:$A$20,0)),Tolls!$B$4:$F$4,0))*IF(K14="Local",2,1)</f>
        <v/>
      </c>
      <c r="Q14" s="65">
        <f>M14/INDEX(Vehicles!$H$5:$H$16,MATCH($B14,Vehicles!$A$5:$A$16,0))+INDEX(Vehicles!$N$5:$N$16,MATCH($B14,Vehicles!$A$5:$A$16,0))+INDEX(Routes!$H$5:$H$20,MATCH($C14,Routes!$A$5:$A$20,0))</f>
        <v/>
      </c>
      <c r="R14" s="58">
        <f>Q14*INDEX(Vehicles!$M$5:$M$16,MATCH($B14,Vehicles!$A$5:$A$16,0))</f>
        <v/>
      </c>
      <c r="S14" s="58">
        <f>M14*INDEX(Vehicles!$L$5:$L$16,MATCH($B14,Vehicles!$A$5:$A$16,0))*(1+Settings!$B$19*J14)</f>
        <v/>
      </c>
      <c r="T14" s="58">
        <f>IF(I14&gt;H14,INDEX(Routes!$G$5:$G$20,MATCH($C14,Routes!$A$5:$A$20,0))*Settings!$B$20*(Settings!$B$21+Settings!$B$22*(I14-H14)),0)</f>
        <v/>
      </c>
      <c r="U14" s="58">
        <f>G14*Settings!$B$23*M14/100*(1+Settings!$B$24*J14)*Settings!$B$25</f>
        <v/>
      </c>
      <c r="V14" s="58">
        <f>SUM(O14:P14)+SUM(R14:U14)</f>
        <v/>
      </c>
      <c r="W14" s="58">
        <f>N14-V14</f>
        <v/>
      </c>
      <c r="X14" s="66">
        <f>IF(N14&gt;0,W14/N14,0)</f>
        <v/>
      </c>
      <c r="Y14" s="67">
        <f>Q14*60/Settings!$B$9</f>
        <v/>
      </c>
      <c r="Z14" s="58">
        <f>IF(Y14&gt;0,W14/Y14*60,0)</f>
        <v/>
      </c>
      <c r="AA14" s="67">
        <f>IF(Z14&gt;0,G14/Z14,"Never")</f>
        <v/>
      </c>
      <c r="AB14" s="42">
        <f>INDEX(Vehicles!$S$5:$S$16,MATCH($B14,Vehicles!$A$5:$A$16,0))&amp;" to "&amp;INDEX(Vehicles!$T$5:$T$16,MATCH($B14,Vehicles!$A$5:$A$16,0))</f>
        <v/>
      </c>
      <c r="AC14" s="42">
        <f>IF(NOT(ISNUMBER(AA14)),"Loses money",IF(AA14&lt;INDEX(Vehicles!$S$5:$S$16,MATCH($B14,Vehicles!$A$5:$A$16,0)),"Too fast",IF(AA14&gt;INDEX(Vehicles!$T$5:$T$16,MATCH($B14,Vehicles!$A$5:$A$16,0)),"Too slow","OK")))</f>
        <v/>
      </c>
      <c r="AD14" s="67">
        <f>24/Q14</f>
        <v/>
      </c>
      <c r="AE14" s="67">
        <f>INDEX(Routes!$I$5:$I$20,MATCH($C14,Routes!$A$5:$A$20,0))/(I14*AD14)</f>
        <v/>
      </c>
      <c r="AF14" s="42">
        <f>IF(AND(INDEX(Vehicles!$Q$5:$Q$16,MATCH($B14,Vehicles!$A$5:$A$16,0))="No",K14="Line"),"Not allowed on highway",IF(AND(K14="Line",L14&gt;Settings!$B$26),"Line haul too long",IF(ISERROR(SEARCH(","&amp;B14&amp;",",","&amp;INDEX(Cargo!$C$4:$C$15,MATCH($D14,Cargo!$A$4:$A$15,0))&amp;",")),"Cargo not allowed on this vehicle","")))</f>
        <v/>
      </c>
    </row>
    <row r="15" ht="15" customHeight="1" s="37">
      <c r="A15" s="42" t="inlineStr">
        <is>
          <t>Tier 11 typical</t>
        </is>
      </c>
      <c r="B15" s="59" t="n">
        <v>11</v>
      </c>
      <c r="C15" s="59" t="inlineStr">
        <is>
          <t>R05</t>
        </is>
      </c>
      <c r="D15" s="59" t="inlineStr">
        <is>
          <t>Containers</t>
        </is>
      </c>
      <c r="E15" s="60" t="n">
        <v>0</v>
      </c>
      <c r="F15" s="43">
        <f>INDEX(Vehicles!$B$5:$B$16,MATCH($B15,Vehicles!$A$5:$A$16,0))</f>
        <v/>
      </c>
      <c r="G15" s="44">
        <f>INDEX(Vehicles!$E$5:$E$16,MATCH($B15,Vehicles!$A$5:$A$16,0))</f>
        <v/>
      </c>
      <c r="H15" s="64">
        <f>INDEX(Vehicles!$F$5:$F$16,MATCH($B15,Vehicles!$A$5:$A$16,0))</f>
        <v/>
      </c>
      <c r="I15" s="65">
        <f>H15+MAX(0,MIN(E15,INDEX(Vehicles!$G$5:$G$16,MATCH($B15,Vehicles!$A$5:$A$16,0))-H15))</f>
        <v/>
      </c>
      <c r="J15" s="66">
        <f>(I15-H15)/H15</f>
        <v/>
      </c>
      <c r="K15" s="43">
        <f>INDEX(Routes!$E$5:$E$20,MATCH($C15,Routes!$A$5:$A$20,0))</f>
        <v/>
      </c>
      <c r="L15" s="44">
        <f>INDEX(Routes!$D$5:$D$20,MATCH($C15,Routes!$A$5:$A$20,0))</f>
        <v/>
      </c>
      <c r="M15" s="58">
        <f>IF(K15="Local",2*L15,L15)</f>
        <v/>
      </c>
      <c r="N15" s="58">
        <f>I15*(Settings!$B$6+Settings!$B$7*L15)*INDEX(Cargo!$B$4:$B$15,MATCH($D15,Cargo!$A$4:$A$15,0))*INDEX(Vehicles!$O$5:$O$16,MATCH($B15,Vehicles!$A$5:$A$16,0))*Settings!$B$8</f>
        <v/>
      </c>
      <c r="O15" s="58">
        <f>M15*INDEX(Vehicles!$K$5:$K$16,MATCH($B15,Vehicles!$A$5:$A$16,0))*(1+Settings!$B$18*J15)</f>
        <v/>
      </c>
      <c r="P15" s="58">
        <f>INDEX(Tolls!$B$5:$F$11,MATCH(INDEX(Vehicles!$P$5:$P$16,MATCH($B15,Vehicles!$A$5:$A$16,0)),Tolls!$A$5:$A$11,0),MATCH(INDEX(Routes!$F$5:$F$20,MATCH($C15,Routes!$A$5:$A$20,0)),Tolls!$B$4:$F$4,0))*IF(K15="Local",2,1)</f>
        <v/>
      </c>
      <c r="Q15" s="65">
        <f>M15/INDEX(Vehicles!$H$5:$H$16,MATCH($B15,Vehicles!$A$5:$A$16,0))+INDEX(Vehicles!$N$5:$N$16,MATCH($B15,Vehicles!$A$5:$A$16,0))+INDEX(Routes!$H$5:$H$20,MATCH($C15,Routes!$A$5:$A$20,0))</f>
        <v/>
      </c>
      <c r="R15" s="58">
        <f>Q15*INDEX(Vehicles!$M$5:$M$16,MATCH($B15,Vehicles!$A$5:$A$16,0))</f>
        <v/>
      </c>
      <c r="S15" s="58">
        <f>M15*INDEX(Vehicles!$L$5:$L$16,MATCH($B15,Vehicles!$A$5:$A$16,0))*(1+Settings!$B$19*J15)</f>
        <v/>
      </c>
      <c r="T15" s="58">
        <f>IF(I15&gt;H15,INDEX(Routes!$G$5:$G$20,MATCH($C15,Routes!$A$5:$A$20,0))*Settings!$B$20*(Settings!$B$21+Settings!$B$22*(I15-H15)),0)</f>
        <v/>
      </c>
      <c r="U15" s="58">
        <f>G15*Settings!$B$23*M15/100*(1+Settings!$B$24*J15)*Settings!$B$25</f>
        <v/>
      </c>
      <c r="V15" s="58">
        <f>SUM(O15:P15)+SUM(R15:U15)</f>
        <v/>
      </c>
      <c r="W15" s="58">
        <f>N15-V15</f>
        <v/>
      </c>
      <c r="X15" s="66">
        <f>IF(N15&gt;0,W15/N15,0)</f>
        <v/>
      </c>
      <c r="Y15" s="67">
        <f>Q15*60/Settings!$B$9</f>
        <v/>
      </c>
      <c r="Z15" s="58">
        <f>IF(Y15&gt;0,W15/Y15*60,0)</f>
        <v/>
      </c>
      <c r="AA15" s="67">
        <f>IF(Z15&gt;0,G15/Z15,"Never")</f>
        <v/>
      </c>
      <c r="AB15" s="42">
        <f>INDEX(Vehicles!$S$5:$S$16,MATCH($B15,Vehicles!$A$5:$A$16,0))&amp;" to "&amp;INDEX(Vehicles!$T$5:$T$16,MATCH($B15,Vehicles!$A$5:$A$16,0))</f>
        <v/>
      </c>
      <c r="AC15" s="42">
        <f>IF(NOT(ISNUMBER(AA15)),"Loses money",IF(AA15&lt;INDEX(Vehicles!$S$5:$S$16,MATCH($B15,Vehicles!$A$5:$A$16,0)),"Too fast",IF(AA15&gt;INDEX(Vehicles!$T$5:$T$16,MATCH($B15,Vehicles!$A$5:$A$16,0)),"Too slow","OK")))</f>
        <v/>
      </c>
      <c r="AD15" s="67">
        <f>24/Q15</f>
        <v/>
      </c>
      <c r="AE15" s="67">
        <f>INDEX(Routes!$I$5:$I$20,MATCH($C15,Routes!$A$5:$A$20,0))/(I15*AD15)</f>
        <v/>
      </c>
      <c r="AF15" s="42">
        <f>IF(AND(INDEX(Vehicles!$Q$5:$Q$16,MATCH($B15,Vehicles!$A$5:$A$16,0))="No",K15="Line"),"Not allowed on highway",IF(AND(K15="Line",L15&gt;Settings!$B$26),"Line haul too long",IF(ISERROR(SEARCH(","&amp;B15&amp;",",","&amp;INDEX(Cargo!$C$4:$C$15,MATCH($D15,Cargo!$A$4:$A$15,0))&amp;",")),"Cargo not allowed on this vehicle","")))</f>
        <v/>
      </c>
    </row>
    <row r="16" ht="15" customHeight="1" s="37">
      <c r="A16" s="42" t="inlineStr">
        <is>
          <t>Tier 12 typical</t>
        </is>
      </c>
      <c r="B16" s="59" t="n">
        <v>12</v>
      </c>
      <c r="C16" s="59" t="inlineStr">
        <is>
          <t>R05</t>
        </is>
      </c>
      <c r="D16" s="59" t="inlineStr">
        <is>
          <t>Heavy machinery</t>
        </is>
      </c>
      <c r="E16" s="60" t="n">
        <v>0</v>
      </c>
      <c r="F16" s="43">
        <f>INDEX(Vehicles!$B$5:$B$16,MATCH($B16,Vehicles!$A$5:$A$16,0))</f>
        <v/>
      </c>
      <c r="G16" s="44">
        <f>INDEX(Vehicles!$E$5:$E$16,MATCH($B16,Vehicles!$A$5:$A$16,0))</f>
        <v/>
      </c>
      <c r="H16" s="64">
        <f>INDEX(Vehicles!$F$5:$F$16,MATCH($B16,Vehicles!$A$5:$A$16,0))</f>
        <v/>
      </c>
      <c r="I16" s="65">
        <f>H16+MAX(0,MIN(E16,INDEX(Vehicles!$G$5:$G$16,MATCH($B16,Vehicles!$A$5:$A$16,0))-H16))</f>
        <v/>
      </c>
      <c r="J16" s="66">
        <f>(I16-H16)/H16</f>
        <v/>
      </c>
      <c r="K16" s="43">
        <f>INDEX(Routes!$E$5:$E$20,MATCH($C16,Routes!$A$5:$A$20,0))</f>
        <v/>
      </c>
      <c r="L16" s="44">
        <f>INDEX(Routes!$D$5:$D$20,MATCH($C16,Routes!$A$5:$A$20,0))</f>
        <v/>
      </c>
      <c r="M16" s="58">
        <f>IF(K16="Local",2*L16,L16)</f>
        <v/>
      </c>
      <c r="N16" s="58">
        <f>I16*(Settings!$B$6+Settings!$B$7*L16)*INDEX(Cargo!$B$4:$B$15,MATCH($D16,Cargo!$A$4:$A$15,0))*INDEX(Vehicles!$O$5:$O$16,MATCH($B16,Vehicles!$A$5:$A$16,0))*Settings!$B$8</f>
        <v/>
      </c>
      <c r="O16" s="58">
        <f>M16*INDEX(Vehicles!$K$5:$K$16,MATCH($B16,Vehicles!$A$5:$A$16,0))*(1+Settings!$B$18*J16)</f>
        <v/>
      </c>
      <c r="P16" s="58">
        <f>INDEX(Tolls!$B$5:$F$11,MATCH(INDEX(Vehicles!$P$5:$P$16,MATCH($B16,Vehicles!$A$5:$A$16,0)),Tolls!$A$5:$A$11,0),MATCH(INDEX(Routes!$F$5:$F$20,MATCH($C16,Routes!$A$5:$A$20,0)),Tolls!$B$4:$F$4,0))*IF(K16="Local",2,1)</f>
        <v/>
      </c>
      <c r="Q16" s="65">
        <f>M16/INDEX(Vehicles!$H$5:$H$16,MATCH($B16,Vehicles!$A$5:$A$16,0))+INDEX(Vehicles!$N$5:$N$16,MATCH($B16,Vehicles!$A$5:$A$16,0))+INDEX(Routes!$H$5:$H$20,MATCH($C16,Routes!$A$5:$A$20,0))</f>
        <v/>
      </c>
      <c r="R16" s="58">
        <f>Q16*INDEX(Vehicles!$M$5:$M$16,MATCH($B16,Vehicles!$A$5:$A$16,0))</f>
        <v/>
      </c>
      <c r="S16" s="58">
        <f>M16*INDEX(Vehicles!$L$5:$L$16,MATCH($B16,Vehicles!$A$5:$A$16,0))*(1+Settings!$B$19*J16)</f>
        <v/>
      </c>
      <c r="T16" s="58">
        <f>IF(I16&gt;H16,INDEX(Routes!$G$5:$G$20,MATCH($C16,Routes!$A$5:$A$20,0))*Settings!$B$20*(Settings!$B$21+Settings!$B$22*(I16-H16)),0)</f>
        <v/>
      </c>
      <c r="U16" s="58">
        <f>G16*Settings!$B$23*M16/100*(1+Settings!$B$24*J16)*Settings!$B$25</f>
        <v/>
      </c>
      <c r="V16" s="58">
        <f>SUM(O16:P16)+SUM(R16:U16)</f>
        <v/>
      </c>
      <c r="W16" s="58">
        <f>N16-V16</f>
        <v/>
      </c>
      <c r="X16" s="66">
        <f>IF(N16&gt;0,W16/N16,0)</f>
        <v/>
      </c>
      <c r="Y16" s="67">
        <f>Q16*60/Settings!$B$9</f>
        <v/>
      </c>
      <c r="Z16" s="58">
        <f>IF(Y16&gt;0,W16/Y16*60,0)</f>
        <v/>
      </c>
      <c r="AA16" s="67">
        <f>IF(Z16&gt;0,G16/Z16,"Never")</f>
        <v/>
      </c>
      <c r="AB16" s="42">
        <f>INDEX(Vehicles!$S$5:$S$16,MATCH($B16,Vehicles!$A$5:$A$16,0))&amp;" to "&amp;INDEX(Vehicles!$T$5:$T$16,MATCH($B16,Vehicles!$A$5:$A$16,0))</f>
        <v/>
      </c>
      <c r="AC16" s="42">
        <f>IF(NOT(ISNUMBER(AA16)),"Loses money",IF(AA16&lt;INDEX(Vehicles!$S$5:$S$16,MATCH($B16,Vehicles!$A$5:$A$16,0)),"Too fast",IF(AA16&gt;INDEX(Vehicles!$T$5:$T$16,MATCH($B16,Vehicles!$A$5:$A$16,0)),"Too slow","OK")))</f>
        <v/>
      </c>
      <c r="AD16" s="67">
        <f>24/Q16</f>
        <v/>
      </c>
      <c r="AE16" s="67">
        <f>INDEX(Routes!$I$5:$I$20,MATCH($C16,Routes!$A$5:$A$20,0))/(I16*AD16)</f>
        <v/>
      </c>
      <c r="AF16" s="42">
        <f>IF(AND(INDEX(Vehicles!$Q$5:$Q$16,MATCH($B16,Vehicles!$A$5:$A$16,0))="No",K16="Line"),"Not allowed on highway",IF(AND(K16="Line",L16&gt;Settings!$B$26),"Line haul too long",IF(ISERROR(SEARCH(","&amp;B16&amp;",",","&amp;INDEX(Cargo!$C$4:$C$15,MATCH($D16,Cargo!$A$4:$A$15,0))&amp;",")),"Cargo not allowed on this vehicle","")))</f>
        <v/>
      </c>
    </row>
    <row r="17" ht="15" customHeight="1" s="37">
      <c r="A17" s="42" t="inlineStr">
        <is>
          <t>Overload test: 6-wheel, legal</t>
        </is>
      </c>
      <c r="B17" s="59" t="n">
        <v>6</v>
      </c>
      <c r="C17" s="59" t="inlineStr">
        <is>
          <t>R05</t>
        </is>
      </c>
      <c r="D17" s="59" t="inlineStr">
        <is>
          <t>Rice</t>
        </is>
      </c>
      <c r="E17" s="60" t="n">
        <v>0</v>
      </c>
      <c r="F17" s="43">
        <f>INDEX(Vehicles!$B$5:$B$16,MATCH($B17,Vehicles!$A$5:$A$16,0))</f>
        <v/>
      </c>
      <c r="G17" s="44">
        <f>INDEX(Vehicles!$E$5:$E$16,MATCH($B17,Vehicles!$A$5:$A$16,0))</f>
        <v/>
      </c>
      <c r="H17" s="64">
        <f>INDEX(Vehicles!$F$5:$F$16,MATCH($B17,Vehicles!$A$5:$A$16,0))</f>
        <v/>
      </c>
      <c r="I17" s="65">
        <f>H17+MAX(0,MIN(E17,INDEX(Vehicles!$G$5:$G$16,MATCH($B17,Vehicles!$A$5:$A$16,0))-H17))</f>
        <v/>
      </c>
      <c r="J17" s="66">
        <f>(I17-H17)/H17</f>
        <v/>
      </c>
      <c r="K17" s="43">
        <f>INDEX(Routes!$E$5:$E$20,MATCH($C17,Routes!$A$5:$A$20,0))</f>
        <v/>
      </c>
      <c r="L17" s="44">
        <f>INDEX(Routes!$D$5:$D$20,MATCH($C17,Routes!$A$5:$A$20,0))</f>
        <v/>
      </c>
      <c r="M17" s="58">
        <f>IF(K17="Local",2*L17,L17)</f>
        <v/>
      </c>
      <c r="N17" s="58">
        <f>I17*(Settings!$B$6+Settings!$B$7*L17)*INDEX(Cargo!$B$4:$B$15,MATCH($D17,Cargo!$A$4:$A$15,0))*INDEX(Vehicles!$O$5:$O$16,MATCH($B17,Vehicles!$A$5:$A$16,0))*Settings!$B$8</f>
        <v/>
      </c>
      <c r="O17" s="58">
        <f>M17*INDEX(Vehicles!$K$5:$K$16,MATCH($B17,Vehicles!$A$5:$A$16,0))*(1+Settings!$B$18*J17)</f>
        <v/>
      </c>
      <c r="P17" s="58">
        <f>INDEX(Tolls!$B$5:$F$11,MATCH(INDEX(Vehicles!$P$5:$P$16,MATCH($B17,Vehicles!$A$5:$A$16,0)),Tolls!$A$5:$A$11,0),MATCH(INDEX(Routes!$F$5:$F$20,MATCH($C17,Routes!$A$5:$A$20,0)),Tolls!$B$4:$F$4,0))*IF(K17="Local",2,1)</f>
        <v/>
      </c>
      <c r="Q17" s="65">
        <f>M17/INDEX(Vehicles!$H$5:$H$16,MATCH($B17,Vehicles!$A$5:$A$16,0))+INDEX(Vehicles!$N$5:$N$16,MATCH($B17,Vehicles!$A$5:$A$16,0))+INDEX(Routes!$H$5:$H$20,MATCH($C17,Routes!$A$5:$A$20,0))</f>
        <v/>
      </c>
      <c r="R17" s="58">
        <f>Q17*INDEX(Vehicles!$M$5:$M$16,MATCH($B17,Vehicles!$A$5:$A$16,0))</f>
        <v/>
      </c>
      <c r="S17" s="58">
        <f>M17*INDEX(Vehicles!$L$5:$L$16,MATCH($B17,Vehicles!$A$5:$A$16,0))*(1+Settings!$B$19*J17)</f>
        <v/>
      </c>
      <c r="T17" s="58">
        <f>IF(I17&gt;H17,INDEX(Routes!$G$5:$G$20,MATCH($C17,Routes!$A$5:$A$20,0))*Settings!$B$20*(Settings!$B$21+Settings!$B$22*(I17-H17)),0)</f>
        <v/>
      </c>
      <c r="U17" s="58">
        <f>G17*Settings!$B$23*M17/100*(1+Settings!$B$24*J17)*Settings!$B$25</f>
        <v/>
      </c>
      <c r="V17" s="58">
        <f>SUM(O17:P17)+SUM(R17:U17)</f>
        <v/>
      </c>
      <c r="W17" s="58">
        <f>N17-V17</f>
        <v/>
      </c>
      <c r="X17" s="66">
        <f>IF(N17&gt;0,W17/N17,0)</f>
        <v/>
      </c>
      <c r="Y17" s="67">
        <f>Q17*60/Settings!$B$9</f>
        <v/>
      </c>
      <c r="Z17" s="58">
        <f>IF(Y17&gt;0,W17/Y17*60,0)</f>
        <v/>
      </c>
      <c r="AA17" s="67">
        <f>IF(Z17&gt;0,G17/Z17,"Never")</f>
        <v/>
      </c>
      <c r="AB17" s="42">
        <f>INDEX(Vehicles!$S$5:$S$16,MATCH($B17,Vehicles!$A$5:$A$16,0))&amp;" to "&amp;INDEX(Vehicles!$T$5:$T$16,MATCH($B17,Vehicles!$A$5:$A$16,0))</f>
        <v/>
      </c>
      <c r="AC17" s="42">
        <f>IF(NOT(ISNUMBER(AA17)),"Loses money",IF(AA17&lt;INDEX(Vehicles!$S$5:$S$16,MATCH($B17,Vehicles!$A$5:$A$16,0)),"Too fast",IF(AA17&gt;INDEX(Vehicles!$T$5:$T$16,MATCH($B17,Vehicles!$A$5:$A$16,0)),"Too slow","OK")))</f>
        <v/>
      </c>
      <c r="AD17" s="67">
        <f>24/Q17</f>
        <v/>
      </c>
      <c r="AE17" s="67">
        <f>INDEX(Routes!$I$5:$I$20,MATCH($C17,Routes!$A$5:$A$20,0))/(I17*AD17)</f>
        <v/>
      </c>
      <c r="AF17" s="42">
        <f>IF(AND(INDEX(Vehicles!$Q$5:$Q$16,MATCH($B17,Vehicles!$A$5:$A$16,0))="No",K17="Line"),"Not allowed on highway",IF(AND(K17="Line",L17&gt;Settings!$B$26),"Line haul too long",IF(ISERROR(SEARCH(","&amp;B17&amp;",",","&amp;INDEX(Cargo!$C$4:$C$15,MATCH($D17,Cargo!$A$4:$A$15,0))&amp;",")),"Cargo not allowed on this vehicle","")))</f>
        <v/>
      </c>
    </row>
    <row r="18" ht="15" customHeight="1" s="37">
      <c r="A18" s="42" t="inlineStr">
        <is>
          <t>Overload test: 6-wheel, +8 t</t>
        </is>
      </c>
      <c r="B18" s="59" t="n">
        <v>6</v>
      </c>
      <c r="C18" s="59" t="inlineStr">
        <is>
          <t>R05</t>
        </is>
      </c>
      <c r="D18" s="59" t="inlineStr">
        <is>
          <t>Rice</t>
        </is>
      </c>
      <c r="E18" s="60" t="n">
        <v>8</v>
      </c>
      <c r="F18" s="43">
        <f>INDEX(Vehicles!$B$5:$B$16,MATCH($B18,Vehicles!$A$5:$A$16,0))</f>
        <v/>
      </c>
      <c r="G18" s="44">
        <f>INDEX(Vehicles!$E$5:$E$16,MATCH($B18,Vehicles!$A$5:$A$16,0))</f>
        <v/>
      </c>
      <c r="H18" s="64">
        <f>INDEX(Vehicles!$F$5:$F$16,MATCH($B18,Vehicles!$A$5:$A$16,0))</f>
        <v/>
      </c>
      <c r="I18" s="65">
        <f>H18+MAX(0,MIN(E18,INDEX(Vehicles!$G$5:$G$16,MATCH($B18,Vehicles!$A$5:$A$16,0))-H18))</f>
        <v/>
      </c>
      <c r="J18" s="66">
        <f>(I18-H18)/H18</f>
        <v/>
      </c>
      <c r="K18" s="43">
        <f>INDEX(Routes!$E$5:$E$20,MATCH($C18,Routes!$A$5:$A$20,0))</f>
        <v/>
      </c>
      <c r="L18" s="44">
        <f>INDEX(Routes!$D$5:$D$20,MATCH($C18,Routes!$A$5:$A$20,0))</f>
        <v/>
      </c>
      <c r="M18" s="58">
        <f>IF(K18="Local",2*L18,L18)</f>
        <v/>
      </c>
      <c r="N18" s="58">
        <f>I18*(Settings!$B$6+Settings!$B$7*L18)*INDEX(Cargo!$B$4:$B$15,MATCH($D18,Cargo!$A$4:$A$15,0))*INDEX(Vehicles!$O$5:$O$16,MATCH($B18,Vehicles!$A$5:$A$16,0))*Settings!$B$8</f>
        <v/>
      </c>
      <c r="O18" s="58">
        <f>M18*INDEX(Vehicles!$K$5:$K$16,MATCH($B18,Vehicles!$A$5:$A$16,0))*(1+Settings!$B$18*J18)</f>
        <v/>
      </c>
      <c r="P18" s="58">
        <f>INDEX(Tolls!$B$5:$F$11,MATCH(INDEX(Vehicles!$P$5:$P$16,MATCH($B18,Vehicles!$A$5:$A$16,0)),Tolls!$A$5:$A$11,0),MATCH(INDEX(Routes!$F$5:$F$20,MATCH($C18,Routes!$A$5:$A$20,0)),Tolls!$B$4:$F$4,0))*IF(K18="Local",2,1)</f>
        <v/>
      </c>
      <c r="Q18" s="65">
        <f>M18/INDEX(Vehicles!$H$5:$H$16,MATCH($B18,Vehicles!$A$5:$A$16,0))+INDEX(Vehicles!$N$5:$N$16,MATCH($B18,Vehicles!$A$5:$A$16,0))+INDEX(Routes!$H$5:$H$20,MATCH($C18,Routes!$A$5:$A$20,0))</f>
        <v/>
      </c>
      <c r="R18" s="58">
        <f>Q18*INDEX(Vehicles!$M$5:$M$16,MATCH($B18,Vehicles!$A$5:$A$16,0))</f>
        <v/>
      </c>
      <c r="S18" s="58">
        <f>M18*INDEX(Vehicles!$L$5:$L$16,MATCH($B18,Vehicles!$A$5:$A$16,0))*(1+Settings!$B$19*J18)</f>
        <v/>
      </c>
      <c r="T18" s="58">
        <f>IF(I18&gt;H18,INDEX(Routes!$G$5:$G$20,MATCH($C18,Routes!$A$5:$A$20,0))*Settings!$B$20*(Settings!$B$21+Settings!$B$22*(I18-H18)),0)</f>
        <v/>
      </c>
      <c r="U18" s="58">
        <f>G18*Settings!$B$23*M18/100*(1+Settings!$B$24*J18)*Settings!$B$25</f>
        <v/>
      </c>
      <c r="V18" s="58">
        <f>SUM(O18:P18)+SUM(R18:U18)</f>
        <v/>
      </c>
      <c r="W18" s="58">
        <f>N18-V18</f>
        <v/>
      </c>
      <c r="X18" s="66">
        <f>IF(N18&gt;0,W18/N18,0)</f>
        <v/>
      </c>
      <c r="Y18" s="67">
        <f>Q18*60/Settings!$B$9</f>
        <v/>
      </c>
      <c r="Z18" s="58">
        <f>IF(Y18&gt;0,W18/Y18*60,0)</f>
        <v/>
      </c>
      <c r="AA18" s="67">
        <f>IF(Z18&gt;0,G18/Z18,"Never")</f>
        <v/>
      </c>
      <c r="AB18" s="42">
        <f>INDEX(Vehicles!$S$5:$S$16,MATCH($B18,Vehicles!$A$5:$A$16,0))&amp;" to "&amp;INDEX(Vehicles!$T$5:$T$16,MATCH($B18,Vehicles!$A$5:$A$16,0))</f>
        <v/>
      </c>
      <c r="AC18" s="42">
        <f>IF(NOT(ISNUMBER(AA18)),"Loses money",IF(AA18&lt;INDEX(Vehicles!$S$5:$S$16,MATCH($B18,Vehicles!$A$5:$A$16,0)),"Too fast",IF(AA18&gt;INDEX(Vehicles!$T$5:$T$16,MATCH($B18,Vehicles!$A$5:$A$16,0)),"Too slow","OK")))</f>
        <v/>
      </c>
      <c r="AD18" s="67">
        <f>24/Q18</f>
        <v/>
      </c>
      <c r="AE18" s="67">
        <f>INDEX(Routes!$I$5:$I$20,MATCH($C18,Routes!$A$5:$A$20,0))/(I18*AD18)</f>
        <v/>
      </c>
      <c r="AF18" s="42">
        <f>IF(AND(INDEX(Vehicles!$Q$5:$Q$16,MATCH($B18,Vehicles!$A$5:$A$16,0))="No",K18="Line"),"Not allowed on highway",IF(AND(K18="Line",L18&gt;Settings!$B$26),"Line haul too long",IF(ISERROR(SEARCH(","&amp;B18&amp;",",","&amp;INDEX(Cargo!$C$4:$C$15,MATCH($D18,Cargo!$A$4:$A$15,0))&amp;",")),"Cargo not allowed on this vehicle","")))</f>
        <v/>
      </c>
    </row>
    <row r="19" ht="15" customHeight="1" s="37">
      <c r="A19" s="42" t="inlineStr">
        <is>
          <t>Overload test: 6-wheel, +12 t</t>
        </is>
      </c>
      <c r="B19" s="59" t="n">
        <v>6</v>
      </c>
      <c r="C19" s="59" t="inlineStr">
        <is>
          <t>R05</t>
        </is>
      </c>
      <c r="D19" s="59" t="inlineStr">
        <is>
          <t>Rice</t>
        </is>
      </c>
      <c r="E19" s="60" t="n">
        <v>12</v>
      </c>
      <c r="F19" s="43">
        <f>INDEX(Vehicles!$B$5:$B$16,MATCH($B19,Vehicles!$A$5:$A$16,0))</f>
        <v/>
      </c>
      <c r="G19" s="44">
        <f>INDEX(Vehicles!$E$5:$E$16,MATCH($B19,Vehicles!$A$5:$A$16,0))</f>
        <v/>
      </c>
      <c r="H19" s="64">
        <f>INDEX(Vehicles!$F$5:$F$16,MATCH($B19,Vehicles!$A$5:$A$16,0))</f>
        <v/>
      </c>
      <c r="I19" s="65">
        <f>H19+MAX(0,MIN(E19,INDEX(Vehicles!$G$5:$G$16,MATCH($B19,Vehicles!$A$5:$A$16,0))-H19))</f>
        <v/>
      </c>
      <c r="J19" s="66">
        <f>(I19-H19)/H19</f>
        <v/>
      </c>
      <c r="K19" s="43">
        <f>INDEX(Routes!$E$5:$E$20,MATCH($C19,Routes!$A$5:$A$20,0))</f>
        <v/>
      </c>
      <c r="L19" s="44">
        <f>INDEX(Routes!$D$5:$D$20,MATCH($C19,Routes!$A$5:$A$20,0))</f>
        <v/>
      </c>
      <c r="M19" s="58">
        <f>IF(K19="Local",2*L19,L19)</f>
        <v/>
      </c>
      <c r="N19" s="58">
        <f>I19*(Settings!$B$6+Settings!$B$7*L19)*INDEX(Cargo!$B$4:$B$15,MATCH($D19,Cargo!$A$4:$A$15,0))*INDEX(Vehicles!$O$5:$O$16,MATCH($B19,Vehicles!$A$5:$A$16,0))*Settings!$B$8</f>
        <v/>
      </c>
      <c r="O19" s="58">
        <f>M19*INDEX(Vehicles!$K$5:$K$16,MATCH($B19,Vehicles!$A$5:$A$16,0))*(1+Settings!$B$18*J19)</f>
        <v/>
      </c>
      <c r="P19" s="58">
        <f>INDEX(Tolls!$B$5:$F$11,MATCH(INDEX(Vehicles!$P$5:$P$16,MATCH($B19,Vehicles!$A$5:$A$16,0)),Tolls!$A$5:$A$11,0),MATCH(INDEX(Routes!$F$5:$F$20,MATCH($C19,Routes!$A$5:$A$20,0)),Tolls!$B$4:$F$4,0))*IF(K19="Local",2,1)</f>
        <v/>
      </c>
      <c r="Q19" s="65">
        <f>M19/INDEX(Vehicles!$H$5:$H$16,MATCH($B19,Vehicles!$A$5:$A$16,0))+INDEX(Vehicles!$N$5:$N$16,MATCH($B19,Vehicles!$A$5:$A$16,0))+INDEX(Routes!$H$5:$H$20,MATCH($C19,Routes!$A$5:$A$20,0))</f>
        <v/>
      </c>
      <c r="R19" s="58">
        <f>Q19*INDEX(Vehicles!$M$5:$M$16,MATCH($B19,Vehicles!$A$5:$A$16,0))</f>
        <v/>
      </c>
      <c r="S19" s="58">
        <f>M19*INDEX(Vehicles!$L$5:$L$16,MATCH($B19,Vehicles!$A$5:$A$16,0))*(1+Settings!$B$19*J19)</f>
        <v/>
      </c>
      <c r="T19" s="58">
        <f>IF(I19&gt;H19,INDEX(Routes!$G$5:$G$20,MATCH($C19,Routes!$A$5:$A$20,0))*Settings!$B$20*(Settings!$B$21+Settings!$B$22*(I19-H19)),0)</f>
        <v/>
      </c>
      <c r="U19" s="58">
        <f>G19*Settings!$B$23*M19/100*(1+Settings!$B$24*J19)*Settings!$B$25</f>
        <v/>
      </c>
      <c r="V19" s="58">
        <f>SUM(O19:P19)+SUM(R19:U19)</f>
        <v/>
      </c>
      <c r="W19" s="58">
        <f>N19-V19</f>
        <v/>
      </c>
      <c r="X19" s="66">
        <f>IF(N19&gt;0,W19/N19,0)</f>
        <v/>
      </c>
      <c r="Y19" s="67">
        <f>Q19*60/Settings!$B$9</f>
        <v/>
      </c>
      <c r="Z19" s="58">
        <f>IF(Y19&gt;0,W19/Y19*60,0)</f>
        <v/>
      </c>
      <c r="AA19" s="67">
        <f>IF(Z19&gt;0,G19/Z19,"Never")</f>
        <v/>
      </c>
      <c r="AB19" s="42">
        <f>INDEX(Vehicles!$S$5:$S$16,MATCH($B19,Vehicles!$A$5:$A$16,0))&amp;" to "&amp;INDEX(Vehicles!$T$5:$T$16,MATCH($B19,Vehicles!$A$5:$A$16,0))</f>
        <v/>
      </c>
      <c r="AC19" s="42">
        <f>IF(NOT(ISNUMBER(AA19)),"Loses money",IF(AA19&lt;INDEX(Vehicles!$S$5:$S$16,MATCH($B19,Vehicles!$A$5:$A$16,0)),"Too fast",IF(AA19&gt;INDEX(Vehicles!$T$5:$T$16,MATCH($B19,Vehicles!$A$5:$A$16,0)),"Too slow","OK")))</f>
        <v/>
      </c>
      <c r="AD19" s="67">
        <f>24/Q19</f>
        <v/>
      </c>
      <c r="AE19" s="67">
        <f>INDEX(Routes!$I$5:$I$20,MATCH($C19,Routes!$A$5:$A$20,0))/(I19*AD19)</f>
        <v/>
      </c>
      <c r="AF19" s="42">
        <f>IF(AND(INDEX(Vehicles!$Q$5:$Q$16,MATCH($B19,Vehicles!$A$5:$A$16,0))="No",K19="Line"),"Not allowed on highway",IF(AND(K19="Line",L19&gt;Settings!$B$26),"Line haul too long",IF(ISERROR(SEARCH(","&amp;B19&amp;",",","&amp;INDEX(Cargo!$C$4:$C$15,MATCH($D19,Cargo!$A$4:$A$15,0))&amp;",")),"Cargo not allowed on this vehicle","")))</f>
        <v/>
      </c>
    </row>
    <row r="20" ht="15" customHeight="1" s="37">
      <c r="A20" s="42" t="inlineStr">
        <is>
          <t>Overload test: +12 t, no weighbridge</t>
        </is>
      </c>
      <c r="B20" s="59" t="n">
        <v>6</v>
      </c>
      <c r="C20" s="59" t="inlineStr">
        <is>
          <t>R07</t>
        </is>
      </c>
      <c r="D20" s="59" t="inlineStr">
        <is>
          <t>Rice</t>
        </is>
      </c>
      <c r="E20" s="60" t="n">
        <v>12</v>
      </c>
      <c r="F20" s="43">
        <f>INDEX(Vehicles!$B$5:$B$16,MATCH($B20,Vehicles!$A$5:$A$16,0))</f>
        <v/>
      </c>
      <c r="G20" s="44">
        <f>INDEX(Vehicles!$E$5:$E$16,MATCH($B20,Vehicles!$A$5:$A$16,0))</f>
        <v/>
      </c>
      <c r="H20" s="64">
        <f>INDEX(Vehicles!$F$5:$F$16,MATCH($B20,Vehicles!$A$5:$A$16,0))</f>
        <v/>
      </c>
      <c r="I20" s="65">
        <f>H20+MAX(0,MIN(E20,INDEX(Vehicles!$G$5:$G$16,MATCH($B20,Vehicles!$A$5:$A$16,0))-H20))</f>
        <v/>
      </c>
      <c r="J20" s="66">
        <f>(I20-H20)/H20</f>
        <v/>
      </c>
      <c r="K20" s="43">
        <f>INDEX(Routes!$E$5:$E$20,MATCH($C20,Routes!$A$5:$A$20,0))</f>
        <v/>
      </c>
      <c r="L20" s="44">
        <f>INDEX(Routes!$D$5:$D$20,MATCH($C20,Routes!$A$5:$A$20,0))</f>
        <v/>
      </c>
      <c r="M20" s="58">
        <f>IF(K20="Local",2*L20,L20)</f>
        <v/>
      </c>
      <c r="N20" s="58">
        <f>I20*(Settings!$B$6+Settings!$B$7*L20)*INDEX(Cargo!$B$4:$B$15,MATCH($D20,Cargo!$A$4:$A$15,0))*INDEX(Vehicles!$O$5:$O$16,MATCH($B20,Vehicles!$A$5:$A$16,0))*Settings!$B$8</f>
        <v/>
      </c>
      <c r="O20" s="58">
        <f>M20*INDEX(Vehicles!$K$5:$K$16,MATCH($B20,Vehicles!$A$5:$A$16,0))*(1+Settings!$B$18*J20)</f>
        <v/>
      </c>
      <c r="P20" s="58">
        <f>INDEX(Tolls!$B$5:$F$11,MATCH(INDEX(Vehicles!$P$5:$P$16,MATCH($B20,Vehicles!$A$5:$A$16,0)),Tolls!$A$5:$A$11,0),MATCH(INDEX(Routes!$F$5:$F$20,MATCH($C20,Routes!$A$5:$A$20,0)),Tolls!$B$4:$F$4,0))*IF(K20="Local",2,1)</f>
        <v/>
      </c>
      <c r="Q20" s="65">
        <f>M20/INDEX(Vehicles!$H$5:$H$16,MATCH($B20,Vehicles!$A$5:$A$16,0))+INDEX(Vehicles!$N$5:$N$16,MATCH($B20,Vehicles!$A$5:$A$16,0))+INDEX(Routes!$H$5:$H$20,MATCH($C20,Routes!$A$5:$A$20,0))</f>
        <v/>
      </c>
      <c r="R20" s="58">
        <f>Q20*INDEX(Vehicles!$M$5:$M$16,MATCH($B20,Vehicles!$A$5:$A$16,0))</f>
        <v/>
      </c>
      <c r="S20" s="58">
        <f>M20*INDEX(Vehicles!$L$5:$L$16,MATCH($B20,Vehicles!$A$5:$A$16,0))*(1+Settings!$B$19*J20)</f>
        <v/>
      </c>
      <c r="T20" s="58">
        <f>IF(I20&gt;H20,INDEX(Routes!$G$5:$G$20,MATCH($C20,Routes!$A$5:$A$20,0))*Settings!$B$20*(Settings!$B$21+Settings!$B$22*(I20-H20)),0)</f>
        <v/>
      </c>
      <c r="U20" s="58">
        <f>G20*Settings!$B$23*M20/100*(1+Settings!$B$24*J20)*Settings!$B$25</f>
        <v/>
      </c>
      <c r="V20" s="58">
        <f>SUM(O20:P20)+SUM(R20:U20)</f>
        <v/>
      </c>
      <c r="W20" s="58">
        <f>N20-V20</f>
        <v/>
      </c>
      <c r="X20" s="66">
        <f>IF(N20&gt;0,W20/N20,0)</f>
        <v/>
      </c>
      <c r="Y20" s="67">
        <f>Q20*60/Settings!$B$9</f>
        <v/>
      </c>
      <c r="Z20" s="58">
        <f>IF(Y20&gt;0,W20/Y20*60,0)</f>
        <v/>
      </c>
      <c r="AA20" s="67">
        <f>IF(Z20&gt;0,G20/Z20,"Never")</f>
        <v/>
      </c>
      <c r="AB20" s="42">
        <f>INDEX(Vehicles!$S$5:$S$16,MATCH($B20,Vehicles!$A$5:$A$16,0))&amp;" to "&amp;INDEX(Vehicles!$T$5:$T$16,MATCH($B20,Vehicles!$A$5:$A$16,0))</f>
        <v/>
      </c>
      <c r="AC20" s="42">
        <f>IF(NOT(ISNUMBER(AA20)),"Loses money",IF(AA20&lt;INDEX(Vehicles!$S$5:$S$16,MATCH($B20,Vehicles!$A$5:$A$16,0)),"Too fast",IF(AA20&gt;INDEX(Vehicles!$T$5:$T$16,MATCH($B20,Vehicles!$A$5:$A$16,0)),"Too slow","OK")))</f>
        <v/>
      </c>
      <c r="AD20" s="67">
        <f>24/Q20</f>
        <v/>
      </c>
      <c r="AE20" s="67">
        <f>INDEX(Routes!$I$5:$I$20,MATCH($C20,Routes!$A$5:$A$20,0))/(I20*AD20)</f>
        <v/>
      </c>
      <c r="AF20" s="42">
        <f>IF(AND(INDEX(Vehicles!$Q$5:$Q$16,MATCH($B20,Vehicles!$A$5:$A$16,0))="No",K20="Line"),"Not allowed on highway",IF(AND(K20="Line",L20&gt;Settings!$B$26),"Line haul too long",IF(ISERROR(SEARCH(","&amp;B20&amp;",",","&amp;INDEX(Cargo!$C$4:$C$15,MATCH($D20,Cargo!$A$4:$A$15,0))&amp;",")),"Cargo not allowed on this vehicle","")))</f>
        <v/>
      </c>
    </row>
    <row r="21" ht="15" customHeight="1" s="37">
      <c r="A21" s="42" t="inlineStr">
        <is>
          <t>Bridge test: Khulna via Padma</t>
        </is>
      </c>
      <c r="B21" s="59" t="n">
        <v>6</v>
      </c>
      <c r="C21" s="59" t="inlineStr">
        <is>
          <t>R10</t>
        </is>
      </c>
      <c r="D21" s="59" t="inlineStr">
        <is>
          <t>General dry</t>
        </is>
      </c>
      <c r="E21" s="60" t="n">
        <v>0</v>
      </c>
      <c r="F21" s="43">
        <f>INDEX(Vehicles!$B$5:$B$16,MATCH($B21,Vehicles!$A$5:$A$16,0))</f>
        <v/>
      </c>
      <c r="G21" s="44">
        <f>INDEX(Vehicles!$E$5:$E$16,MATCH($B21,Vehicles!$A$5:$A$16,0))</f>
        <v/>
      </c>
      <c r="H21" s="64">
        <f>INDEX(Vehicles!$F$5:$F$16,MATCH($B21,Vehicles!$A$5:$A$16,0))</f>
        <v/>
      </c>
      <c r="I21" s="65">
        <f>H21+MAX(0,MIN(E21,INDEX(Vehicles!$G$5:$G$16,MATCH($B21,Vehicles!$A$5:$A$16,0))-H21))</f>
        <v/>
      </c>
      <c r="J21" s="66">
        <f>(I21-H21)/H21</f>
        <v/>
      </c>
      <c r="K21" s="43">
        <f>INDEX(Routes!$E$5:$E$20,MATCH($C21,Routes!$A$5:$A$20,0))</f>
        <v/>
      </c>
      <c r="L21" s="44">
        <f>INDEX(Routes!$D$5:$D$20,MATCH($C21,Routes!$A$5:$A$20,0))</f>
        <v/>
      </c>
      <c r="M21" s="58">
        <f>IF(K21="Local",2*L21,L21)</f>
        <v/>
      </c>
      <c r="N21" s="58">
        <f>I21*(Settings!$B$6+Settings!$B$7*L21)*INDEX(Cargo!$B$4:$B$15,MATCH($D21,Cargo!$A$4:$A$15,0))*INDEX(Vehicles!$O$5:$O$16,MATCH($B21,Vehicles!$A$5:$A$16,0))*Settings!$B$8</f>
        <v/>
      </c>
      <c r="O21" s="58">
        <f>M21*INDEX(Vehicles!$K$5:$K$16,MATCH($B21,Vehicles!$A$5:$A$16,0))*(1+Settings!$B$18*J21)</f>
        <v/>
      </c>
      <c r="P21" s="58">
        <f>INDEX(Tolls!$B$5:$F$11,MATCH(INDEX(Vehicles!$P$5:$P$16,MATCH($B21,Vehicles!$A$5:$A$16,0)),Tolls!$A$5:$A$11,0),MATCH(INDEX(Routes!$F$5:$F$20,MATCH($C21,Routes!$A$5:$A$20,0)),Tolls!$B$4:$F$4,0))*IF(K21="Local",2,1)</f>
        <v/>
      </c>
      <c r="Q21" s="65">
        <f>M21/INDEX(Vehicles!$H$5:$H$16,MATCH($B21,Vehicles!$A$5:$A$16,0))+INDEX(Vehicles!$N$5:$N$16,MATCH($B21,Vehicles!$A$5:$A$16,0))+INDEX(Routes!$H$5:$H$20,MATCH($C21,Routes!$A$5:$A$20,0))</f>
        <v/>
      </c>
      <c r="R21" s="58">
        <f>Q21*INDEX(Vehicles!$M$5:$M$16,MATCH($B21,Vehicles!$A$5:$A$16,0))</f>
        <v/>
      </c>
      <c r="S21" s="58">
        <f>M21*INDEX(Vehicles!$L$5:$L$16,MATCH($B21,Vehicles!$A$5:$A$16,0))*(1+Settings!$B$19*J21)</f>
        <v/>
      </c>
      <c r="T21" s="58">
        <f>IF(I21&gt;H21,INDEX(Routes!$G$5:$G$20,MATCH($C21,Routes!$A$5:$A$20,0))*Settings!$B$20*(Settings!$B$21+Settings!$B$22*(I21-H21)),0)</f>
        <v/>
      </c>
      <c r="U21" s="58">
        <f>G21*Settings!$B$23*M21/100*(1+Settings!$B$24*J21)*Settings!$B$25</f>
        <v/>
      </c>
      <c r="V21" s="58">
        <f>SUM(O21:P21)+SUM(R21:U21)</f>
        <v/>
      </c>
      <c r="W21" s="58">
        <f>N21-V21</f>
        <v/>
      </c>
      <c r="X21" s="66">
        <f>IF(N21&gt;0,W21/N21,0)</f>
        <v/>
      </c>
      <c r="Y21" s="67">
        <f>Q21*60/Settings!$B$9</f>
        <v/>
      </c>
      <c r="Z21" s="58">
        <f>IF(Y21&gt;0,W21/Y21*60,0)</f>
        <v/>
      </c>
      <c r="AA21" s="67">
        <f>IF(Z21&gt;0,G21/Z21,"Never")</f>
        <v/>
      </c>
      <c r="AB21" s="42">
        <f>INDEX(Vehicles!$S$5:$S$16,MATCH($B21,Vehicles!$A$5:$A$16,0))&amp;" to "&amp;INDEX(Vehicles!$T$5:$T$16,MATCH($B21,Vehicles!$A$5:$A$16,0))</f>
        <v/>
      </c>
      <c r="AC21" s="42">
        <f>IF(NOT(ISNUMBER(AA21)),"Loses money",IF(AA21&lt;INDEX(Vehicles!$S$5:$S$16,MATCH($B21,Vehicles!$A$5:$A$16,0)),"Too fast",IF(AA21&gt;INDEX(Vehicles!$T$5:$T$16,MATCH($B21,Vehicles!$A$5:$A$16,0)),"Too slow","OK")))</f>
        <v/>
      </c>
      <c r="AD21" s="67">
        <f>24/Q21</f>
        <v/>
      </c>
      <c r="AE21" s="67">
        <f>INDEX(Routes!$I$5:$I$20,MATCH($C21,Routes!$A$5:$A$20,0))/(I21*AD21)</f>
        <v/>
      </c>
      <c r="AF21" s="42">
        <f>IF(AND(INDEX(Vehicles!$Q$5:$Q$16,MATCH($B21,Vehicles!$A$5:$A$16,0))="No",K21="Line"),"Not allowed on highway",IF(AND(K21="Line",L21&gt;Settings!$B$26),"Line haul too long",IF(ISERROR(SEARCH(","&amp;B21&amp;",",","&amp;INDEX(Cargo!$C$4:$C$15,MATCH($D21,Cargo!$A$4:$A$15,0))&amp;",")),"Cargo not allowed on this vehicle","")))</f>
        <v/>
      </c>
    </row>
    <row r="22" ht="15" customHeight="1" s="37">
      <c r="A22" s="42" t="inlineStr">
        <is>
          <t>Bridge test: Khulna via ferry</t>
        </is>
      </c>
      <c r="B22" s="59" t="n">
        <v>6</v>
      </c>
      <c r="C22" s="59" t="inlineStr">
        <is>
          <t>R11</t>
        </is>
      </c>
      <c r="D22" s="59" t="inlineStr">
        <is>
          <t>General dry</t>
        </is>
      </c>
      <c r="E22" s="60" t="n">
        <v>0</v>
      </c>
      <c r="F22" s="43">
        <f>INDEX(Vehicles!$B$5:$B$16,MATCH($B22,Vehicles!$A$5:$A$16,0))</f>
        <v/>
      </c>
      <c r="G22" s="44">
        <f>INDEX(Vehicles!$E$5:$E$16,MATCH($B22,Vehicles!$A$5:$A$16,0))</f>
        <v/>
      </c>
      <c r="H22" s="64">
        <f>INDEX(Vehicles!$F$5:$F$16,MATCH($B22,Vehicles!$A$5:$A$16,0))</f>
        <v/>
      </c>
      <c r="I22" s="65">
        <f>H22+MAX(0,MIN(E22,INDEX(Vehicles!$G$5:$G$16,MATCH($B22,Vehicles!$A$5:$A$16,0))-H22))</f>
        <v/>
      </c>
      <c r="J22" s="66">
        <f>(I22-H22)/H22</f>
        <v/>
      </c>
      <c r="K22" s="43">
        <f>INDEX(Routes!$E$5:$E$20,MATCH($C22,Routes!$A$5:$A$20,0))</f>
        <v/>
      </c>
      <c r="L22" s="44">
        <f>INDEX(Routes!$D$5:$D$20,MATCH($C22,Routes!$A$5:$A$20,0))</f>
        <v/>
      </c>
      <c r="M22" s="58">
        <f>IF(K22="Local",2*L22,L22)</f>
        <v/>
      </c>
      <c r="N22" s="58">
        <f>I22*(Settings!$B$6+Settings!$B$7*L22)*INDEX(Cargo!$B$4:$B$15,MATCH($D22,Cargo!$A$4:$A$15,0))*INDEX(Vehicles!$O$5:$O$16,MATCH($B22,Vehicles!$A$5:$A$16,0))*Settings!$B$8</f>
        <v/>
      </c>
      <c r="O22" s="58">
        <f>M22*INDEX(Vehicles!$K$5:$K$16,MATCH($B22,Vehicles!$A$5:$A$16,0))*(1+Settings!$B$18*J22)</f>
        <v/>
      </c>
      <c r="P22" s="58">
        <f>INDEX(Tolls!$B$5:$F$11,MATCH(INDEX(Vehicles!$P$5:$P$16,MATCH($B22,Vehicles!$A$5:$A$16,0)),Tolls!$A$5:$A$11,0),MATCH(INDEX(Routes!$F$5:$F$20,MATCH($C22,Routes!$A$5:$A$20,0)),Tolls!$B$4:$F$4,0))*IF(K22="Local",2,1)</f>
        <v/>
      </c>
      <c r="Q22" s="65">
        <f>M22/INDEX(Vehicles!$H$5:$H$16,MATCH($B22,Vehicles!$A$5:$A$16,0))+INDEX(Vehicles!$N$5:$N$16,MATCH($B22,Vehicles!$A$5:$A$16,0))+INDEX(Routes!$H$5:$H$20,MATCH($C22,Routes!$A$5:$A$20,0))</f>
        <v/>
      </c>
      <c r="R22" s="58">
        <f>Q22*INDEX(Vehicles!$M$5:$M$16,MATCH($B22,Vehicles!$A$5:$A$16,0))</f>
        <v/>
      </c>
      <c r="S22" s="58">
        <f>M22*INDEX(Vehicles!$L$5:$L$16,MATCH($B22,Vehicles!$A$5:$A$16,0))*(1+Settings!$B$19*J22)</f>
        <v/>
      </c>
      <c r="T22" s="58">
        <f>IF(I22&gt;H22,INDEX(Routes!$G$5:$G$20,MATCH($C22,Routes!$A$5:$A$20,0))*Settings!$B$20*(Settings!$B$21+Settings!$B$22*(I22-H22)),0)</f>
        <v/>
      </c>
      <c r="U22" s="58">
        <f>G22*Settings!$B$23*M22/100*(1+Settings!$B$24*J22)*Settings!$B$25</f>
        <v/>
      </c>
      <c r="V22" s="58">
        <f>SUM(O22:P22)+SUM(R22:U22)</f>
        <v/>
      </c>
      <c r="W22" s="58">
        <f>N22-V22</f>
        <v/>
      </c>
      <c r="X22" s="66">
        <f>IF(N22&gt;0,W22/N22,0)</f>
        <v/>
      </c>
      <c r="Y22" s="67">
        <f>Q22*60/Settings!$B$9</f>
        <v/>
      </c>
      <c r="Z22" s="58">
        <f>IF(Y22&gt;0,W22/Y22*60,0)</f>
        <v/>
      </c>
      <c r="AA22" s="67">
        <f>IF(Z22&gt;0,G22/Z22,"Never")</f>
        <v/>
      </c>
      <c r="AB22" s="42">
        <f>INDEX(Vehicles!$S$5:$S$16,MATCH($B22,Vehicles!$A$5:$A$16,0))&amp;" to "&amp;INDEX(Vehicles!$T$5:$T$16,MATCH($B22,Vehicles!$A$5:$A$16,0))</f>
        <v/>
      </c>
      <c r="AC22" s="42">
        <f>IF(NOT(ISNUMBER(AA22)),"Loses money",IF(AA22&lt;INDEX(Vehicles!$S$5:$S$16,MATCH($B22,Vehicles!$A$5:$A$16,0)),"Too fast",IF(AA22&gt;INDEX(Vehicles!$T$5:$T$16,MATCH($B22,Vehicles!$A$5:$A$16,0)),"Too slow","OK")))</f>
        <v/>
      </c>
      <c r="AD22" s="67">
        <f>24/Q22</f>
        <v/>
      </c>
      <c r="AE22" s="67">
        <f>INDEX(Routes!$I$5:$I$20,MATCH($C22,Routes!$A$5:$A$20,0))/(I22*AD22)</f>
        <v/>
      </c>
      <c r="AF22" s="42">
        <f>IF(AND(INDEX(Vehicles!$Q$5:$Q$16,MATCH($B22,Vehicles!$A$5:$A$16,0))="No",K22="Line"),"Not allowed on highway",IF(AND(K22="Line",L22&gt;Settings!$B$26),"Line haul too long",IF(ISERROR(SEARCH(","&amp;B22&amp;",",","&amp;INDEX(Cargo!$C$4:$C$15,MATCH($D22,Cargo!$A$4:$A$15,0))&amp;",")),"Cargo not allowed on this vehicle","")))</f>
        <v/>
      </c>
    </row>
    <row r="23" ht="15" customHeight="1" s="37">
      <c r="A23" s="42" t="inlineStr">
        <is>
          <t>Queue item: pickup to Narayanganj</t>
        </is>
      </c>
      <c r="B23" s="59" t="n">
        <v>4</v>
      </c>
      <c r="C23" s="59" t="inlineStr">
        <is>
          <t>R02</t>
        </is>
      </c>
      <c r="D23" s="59" t="inlineStr">
        <is>
          <t>General dry</t>
        </is>
      </c>
      <c r="E23" s="60" t="n">
        <v>0</v>
      </c>
      <c r="F23" s="43">
        <f>INDEX(Vehicles!$B$5:$B$16,MATCH($B23,Vehicles!$A$5:$A$16,0))</f>
        <v/>
      </c>
      <c r="G23" s="44">
        <f>INDEX(Vehicles!$E$5:$E$16,MATCH($B23,Vehicles!$A$5:$A$16,0))</f>
        <v/>
      </c>
      <c r="H23" s="64">
        <f>INDEX(Vehicles!$F$5:$F$16,MATCH($B23,Vehicles!$A$5:$A$16,0))</f>
        <v/>
      </c>
      <c r="I23" s="65">
        <f>H23+MAX(0,MIN(E23,INDEX(Vehicles!$G$5:$G$16,MATCH($B23,Vehicles!$A$5:$A$16,0))-H23))</f>
        <v/>
      </c>
      <c r="J23" s="66">
        <f>(I23-H23)/H23</f>
        <v/>
      </c>
      <c r="K23" s="43">
        <f>INDEX(Routes!$E$5:$E$20,MATCH($C23,Routes!$A$5:$A$20,0))</f>
        <v/>
      </c>
      <c r="L23" s="44">
        <f>INDEX(Routes!$D$5:$D$20,MATCH($C23,Routes!$A$5:$A$20,0))</f>
        <v/>
      </c>
      <c r="M23" s="58">
        <f>IF(K23="Local",2*L23,L23)</f>
        <v/>
      </c>
      <c r="N23" s="58">
        <f>I23*(Settings!$B$6+Settings!$B$7*L23)*INDEX(Cargo!$B$4:$B$15,MATCH($D23,Cargo!$A$4:$A$15,0))*INDEX(Vehicles!$O$5:$O$16,MATCH($B23,Vehicles!$A$5:$A$16,0))*Settings!$B$8</f>
        <v/>
      </c>
      <c r="O23" s="58">
        <f>M23*INDEX(Vehicles!$K$5:$K$16,MATCH($B23,Vehicles!$A$5:$A$16,0))*(1+Settings!$B$18*J23)</f>
        <v/>
      </c>
      <c r="P23" s="58">
        <f>INDEX(Tolls!$B$5:$F$11,MATCH(INDEX(Vehicles!$P$5:$P$16,MATCH($B23,Vehicles!$A$5:$A$16,0)),Tolls!$A$5:$A$11,0),MATCH(INDEX(Routes!$F$5:$F$20,MATCH($C23,Routes!$A$5:$A$20,0)),Tolls!$B$4:$F$4,0))*IF(K23="Local",2,1)</f>
        <v/>
      </c>
      <c r="Q23" s="65">
        <f>M23/INDEX(Vehicles!$H$5:$H$16,MATCH($B23,Vehicles!$A$5:$A$16,0))+INDEX(Vehicles!$N$5:$N$16,MATCH($B23,Vehicles!$A$5:$A$16,0))+INDEX(Routes!$H$5:$H$20,MATCH($C23,Routes!$A$5:$A$20,0))</f>
        <v/>
      </c>
      <c r="R23" s="58">
        <f>Q23*INDEX(Vehicles!$M$5:$M$16,MATCH($B23,Vehicles!$A$5:$A$16,0))</f>
        <v/>
      </c>
      <c r="S23" s="58">
        <f>M23*INDEX(Vehicles!$L$5:$L$16,MATCH($B23,Vehicles!$A$5:$A$16,0))*(1+Settings!$B$19*J23)</f>
        <v/>
      </c>
      <c r="T23" s="58">
        <f>IF(I23&gt;H23,INDEX(Routes!$G$5:$G$20,MATCH($C23,Routes!$A$5:$A$20,0))*Settings!$B$20*(Settings!$B$21+Settings!$B$22*(I23-H23)),0)</f>
        <v/>
      </c>
      <c r="U23" s="58">
        <f>G23*Settings!$B$23*M23/100*(1+Settings!$B$24*J23)*Settings!$B$25</f>
        <v/>
      </c>
      <c r="V23" s="58">
        <f>SUM(O23:P23)+SUM(R23:U23)</f>
        <v/>
      </c>
      <c r="W23" s="58">
        <f>N23-V23</f>
        <v/>
      </c>
      <c r="X23" s="66">
        <f>IF(N23&gt;0,W23/N23,0)</f>
        <v/>
      </c>
      <c r="Y23" s="67">
        <f>Q23*60/Settings!$B$9</f>
        <v/>
      </c>
      <c r="Z23" s="58">
        <f>IF(Y23&gt;0,W23/Y23*60,0)</f>
        <v/>
      </c>
      <c r="AA23" s="67">
        <f>IF(Z23&gt;0,G23/Z23,"Never")</f>
        <v/>
      </c>
      <c r="AB23" s="42">
        <f>INDEX(Vehicles!$S$5:$S$16,MATCH($B23,Vehicles!$A$5:$A$16,0))&amp;" to "&amp;INDEX(Vehicles!$T$5:$T$16,MATCH($B23,Vehicles!$A$5:$A$16,0))</f>
        <v/>
      </c>
      <c r="AC23" s="42">
        <f>IF(NOT(ISNUMBER(AA23)),"Loses money",IF(AA23&lt;INDEX(Vehicles!$S$5:$S$16,MATCH($B23,Vehicles!$A$5:$A$16,0)),"Too fast",IF(AA23&gt;INDEX(Vehicles!$T$5:$T$16,MATCH($B23,Vehicles!$A$5:$A$16,0)),"Too slow","OK")))</f>
        <v/>
      </c>
      <c r="AD23" s="67">
        <f>24/Q23</f>
        <v/>
      </c>
      <c r="AE23" s="67">
        <f>INDEX(Routes!$I$5:$I$20,MATCH($C23,Routes!$A$5:$A$20,0))/(I23*AD23)</f>
        <v/>
      </c>
      <c r="AF23" s="42">
        <f>IF(AND(INDEX(Vehicles!$Q$5:$Q$16,MATCH($B23,Vehicles!$A$5:$A$16,0))="No",K23="Line"),"Not allowed on highway",IF(AND(K23="Line",L23&gt;Settings!$B$26),"Line haul too long",IF(ISERROR(SEARCH(","&amp;B23&amp;",",","&amp;INDEX(Cargo!$C$4:$C$15,MATCH($D23,Cargo!$A$4:$A$15,0))&amp;",")),"Cargo not allowed on this vehicle","")))</f>
        <v/>
      </c>
    </row>
    <row r="24" ht="15" customHeight="1" s="37">
      <c r="A24" s="42" t="inlineStr">
        <is>
          <t>Queue item: 14 ft van Dhaka-Cumilla</t>
        </is>
      </c>
      <c r="B24" s="59" t="n">
        <v>5</v>
      </c>
      <c r="C24" s="59" t="inlineStr">
        <is>
          <t>R04</t>
        </is>
      </c>
      <c r="D24" s="59" t="inlineStr">
        <is>
          <t>General dry</t>
        </is>
      </c>
      <c r="E24" s="60" t="n">
        <v>0</v>
      </c>
      <c r="F24" s="43">
        <f>INDEX(Vehicles!$B$5:$B$16,MATCH($B24,Vehicles!$A$5:$A$16,0))</f>
        <v/>
      </c>
      <c r="G24" s="44">
        <f>INDEX(Vehicles!$E$5:$E$16,MATCH($B24,Vehicles!$A$5:$A$16,0))</f>
        <v/>
      </c>
      <c r="H24" s="64">
        <f>INDEX(Vehicles!$F$5:$F$16,MATCH($B24,Vehicles!$A$5:$A$16,0))</f>
        <v/>
      </c>
      <c r="I24" s="65">
        <f>H24+MAX(0,MIN(E24,INDEX(Vehicles!$G$5:$G$16,MATCH($B24,Vehicles!$A$5:$A$16,0))-H24))</f>
        <v/>
      </c>
      <c r="J24" s="66">
        <f>(I24-H24)/H24</f>
        <v/>
      </c>
      <c r="K24" s="43">
        <f>INDEX(Routes!$E$5:$E$20,MATCH($C24,Routes!$A$5:$A$20,0))</f>
        <v/>
      </c>
      <c r="L24" s="44">
        <f>INDEX(Routes!$D$5:$D$20,MATCH($C24,Routes!$A$5:$A$20,0))</f>
        <v/>
      </c>
      <c r="M24" s="58">
        <f>IF(K24="Local",2*L24,L24)</f>
        <v/>
      </c>
      <c r="N24" s="58">
        <f>I24*(Settings!$B$6+Settings!$B$7*L24)*INDEX(Cargo!$B$4:$B$15,MATCH($D24,Cargo!$A$4:$A$15,0))*INDEX(Vehicles!$O$5:$O$16,MATCH($B24,Vehicles!$A$5:$A$16,0))*Settings!$B$8</f>
        <v/>
      </c>
      <c r="O24" s="58">
        <f>M24*INDEX(Vehicles!$K$5:$K$16,MATCH($B24,Vehicles!$A$5:$A$16,0))*(1+Settings!$B$18*J24)</f>
        <v/>
      </c>
      <c r="P24" s="58">
        <f>INDEX(Tolls!$B$5:$F$11,MATCH(INDEX(Vehicles!$P$5:$P$16,MATCH($B24,Vehicles!$A$5:$A$16,0)),Tolls!$A$5:$A$11,0),MATCH(INDEX(Routes!$F$5:$F$20,MATCH($C24,Routes!$A$5:$A$20,0)),Tolls!$B$4:$F$4,0))*IF(K24="Local",2,1)</f>
        <v/>
      </c>
      <c r="Q24" s="65">
        <f>M24/INDEX(Vehicles!$H$5:$H$16,MATCH($B24,Vehicles!$A$5:$A$16,0))+INDEX(Vehicles!$N$5:$N$16,MATCH($B24,Vehicles!$A$5:$A$16,0))+INDEX(Routes!$H$5:$H$20,MATCH($C24,Routes!$A$5:$A$20,0))</f>
        <v/>
      </c>
      <c r="R24" s="58">
        <f>Q24*INDEX(Vehicles!$M$5:$M$16,MATCH($B24,Vehicles!$A$5:$A$16,0))</f>
        <v/>
      </c>
      <c r="S24" s="58">
        <f>M24*INDEX(Vehicles!$L$5:$L$16,MATCH($B24,Vehicles!$A$5:$A$16,0))*(1+Settings!$B$19*J24)</f>
        <v/>
      </c>
      <c r="T24" s="58">
        <f>IF(I24&gt;H24,INDEX(Routes!$G$5:$G$20,MATCH($C24,Routes!$A$5:$A$20,0))*Settings!$B$20*(Settings!$B$21+Settings!$B$22*(I24-H24)),0)</f>
        <v/>
      </c>
      <c r="U24" s="58">
        <f>G24*Settings!$B$23*M24/100*(1+Settings!$B$24*J24)*Settings!$B$25</f>
        <v/>
      </c>
      <c r="V24" s="58">
        <f>SUM(O24:P24)+SUM(R24:U24)</f>
        <v/>
      </c>
      <c r="W24" s="58">
        <f>N24-V24</f>
        <v/>
      </c>
      <c r="X24" s="66">
        <f>IF(N24&gt;0,W24/N24,0)</f>
        <v/>
      </c>
      <c r="Y24" s="67">
        <f>Q24*60/Settings!$B$9</f>
        <v/>
      </c>
      <c r="Z24" s="58">
        <f>IF(Y24&gt;0,W24/Y24*60,0)</f>
        <v/>
      </c>
      <c r="AA24" s="67">
        <f>IF(Z24&gt;0,G24/Z24,"Never")</f>
        <v/>
      </c>
      <c r="AB24" s="42">
        <f>INDEX(Vehicles!$S$5:$S$16,MATCH($B24,Vehicles!$A$5:$A$16,0))&amp;" to "&amp;INDEX(Vehicles!$T$5:$T$16,MATCH($B24,Vehicles!$A$5:$A$16,0))</f>
        <v/>
      </c>
      <c r="AC24" s="42">
        <f>IF(NOT(ISNUMBER(AA24)),"Loses money",IF(AA24&lt;INDEX(Vehicles!$S$5:$S$16,MATCH($B24,Vehicles!$A$5:$A$16,0)),"Too fast",IF(AA24&gt;INDEX(Vehicles!$T$5:$T$16,MATCH($B24,Vehicles!$A$5:$A$16,0)),"Too slow","OK")))</f>
        <v/>
      </c>
      <c r="AD24" s="67">
        <f>24/Q24</f>
        <v/>
      </c>
      <c r="AE24" s="67">
        <f>INDEX(Routes!$I$5:$I$20,MATCH($C24,Routes!$A$5:$A$20,0))/(I24*AD24)</f>
        <v/>
      </c>
      <c r="AF24" s="42">
        <f>IF(AND(INDEX(Vehicles!$Q$5:$Q$16,MATCH($B24,Vehicles!$A$5:$A$16,0))="No",K24="Line"),"Not allowed on highway",IF(AND(K24="Line",L24&gt;Settings!$B$26),"Line haul too long",IF(ISERROR(SEARCH(","&amp;B24&amp;",",","&amp;INDEX(Cargo!$C$4:$C$15,MATCH($D24,Cargo!$A$4:$A$15,0))&amp;",")),"Cargo not allowed on this vehicle","")))</f>
        <v/>
      </c>
    </row>
    <row r="25" ht="15" customHeight="1" s="37">
      <c r="A25" s="42" t="inlineStr">
        <is>
          <t>Queue item: pickup to Gazipur</t>
        </is>
      </c>
      <c r="B25" s="59" t="n">
        <v>4</v>
      </c>
      <c r="C25" s="59" t="inlineStr">
        <is>
          <t>R03</t>
        </is>
      </c>
      <c r="D25" s="59" t="inlineStr">
        <is>
          <t>General dry</t>
        </is>
      </c>
      <c r="E25" s="60" t="n">
        <v>0</v>
      </c>
      <c r="F25" s="43">
        <f>INDEX(Vehicles!$B$5:$B$16,MATCH($B25,Vehicles!$A$5:$A$16,0))</f>
        <v/>
      </c>
      <c r="G25" s="44">
        <f>INDEX(Vehicles!$E$5:$E$16,MATCH($B25,Vehicles!$A$5:$A$16,0))</f>
        <v/>
      </c>
      <c r="H25" s="64">
        <f>INDEX(Vehicles!$F$5:$F$16,MATCH($B25,Vehicles!$A$5:$A$16,0))</f>
        <v/>
      </c>
      <c r="I25" s="65">
        <f>H25+MAX(0,MIN(E25,INDEX(Vehicles!$G$5:$G$16,MATCH($B25,Vehicles!$A$5:$A$16,0))-H25))</f>
        <v/>
      </c>
      <c r="J25" s="66">
        <f>(I25-H25)/H25</f>
        <v/>
      </c>
      <c r="K25" s="43">
        <f>INDEX(Routes!$E$5:$E$20,MATCH($C25,Routes!$A$5:$A$20,0))</f>
        <v/>
      </c>
      <c r="L25" s="44">
        <f>INDEX(Routes!$D$5:$D$20,MATCH($C25,Routes!$A$5:$A$20,0))</f>
        <v/>
      </c>
      <c r="M25" s="58">
        <f>IF(K25="Local",2*L25,L25)</f>
        <v/>
      </c>
      <c r="N25" s="58">
        <f>I25*(Settings!$B$6+Settings!$B$7*L25)*INDEX(Cargo!$B$4:$B$15,MATCH($D25,Cargo!$A$4:$A$15,0))*INDEX(Vehicles!$O$5:$O$16,MATCH($B25,Vehicles!$A$5:$A$16,0))*Settings!$B$8</f>
        <v/>
      </c>
      <c r="O25" s="58">
        <f>M25*INDEX(Vehicles!$K$5:$K$16,MATCH($B25,Vehicles!$A$5:$A$16,0))*(1+Settings!$B$18*J25)</f>
        <v/>
      </c>
      <c r="P25" s="58">
        <f>INDEX(Tolls!$B$5:$F$11,MATCH(INDEX(Vehicles!$P$5:$P$16,MATCH($B25,Vehicles!$A$5:$A$16,0)),Tolls!$A$5:$A$11,0),MATCH(INDEX(Routes!$F$5:$F$20,MATCH($C25,Routes!$A$5:$A$20,0)),Tolls!$B$4:$F$4,0))*IF(K25="Local",2,1)</f>
        <v/>
      </c>
      <c r="Q25" s="65">
        <f>M25/INDEX(Vehicles!$H$5:$H$16,MATCH($B25,Vehicles!$A$5:$A$16,0))+INDEX(Vehicles!$N$5:$N$16,MATCH($B25,Vehicles!$A$5:$A$16,0))+INDEX(Routes!$H$5:$H$20,MATCH($C25,Routes!$A$5:$A$20,0))</f>
        <v/>
      </c>
      <c r="R25" s="58">
        <f>Q25*INDEX(Vehicles!$M$5:$M$16,MATCH($B25,Vehicles!$A$5:$A$16,0))</f>
        <v/>
      </c>
      <c r="S25" s="58">
        <f>M25*INDEX(Vehicles!$L$5:$L$16,MATCH($B25,Vehicles!$A$5:$A$16,0))*(1+Settings!$B$19*J25)</f>
        <v/>
      </c>
      <c r="T25" s="58">
        <f>IF(I25&gt;H25,INDEX(Routes!$G$5:$G$20,MATCH($C25,Routes!$A$5:$A$20,0))*Settings!$B$20*(Settings!$B$21+Settings!$B$22*(I25-H25)),0)</f>
        <v/>
      </c>
      <c r="U25" s="58">
        <f>G25*Settings!$B$23*M25/100*(1+Settings!$B$24*J25)*Settings!$B$25</f>
        <v/>
      </c>
      <c r="V25" s="58">
        <f>SUM(O25:P25)+SUM(R25:U25)</f>
        <v/>
      </c>
      <c r="W25" s="58">
        <f>N25-V25</f>
        <v/>
      </c>
      <c r="X25" s="66">
        <f>IF(N25&gt;0,W25/N25,0)</f>
        <v/>
      </c>
      <c r="Y25" s="67">
        <f>Q25*60/Settings!$B$9</f>
        <v/>
      </c>
      <c r="Z25" s="58">
        <f>IF(Y25&gt;0,W25/Y25*60,0)</f>
        <v/>
      </c>
      <c r="AA25" s="67">
        <f>IF(Z25&gt;0,G25/Z25,"Never")</f>
        <v/>
      </c>
      <c r="AB25" s="42">
        <f>INDEX(Vehicles!$S$5:$S$16,MATCH($B25,Vehicles!$A$5:$A$16,0))&amp;" to "&amp;INDEX(Vehicles!$T$5:$T$16,MATCH($B25,Vehicles!$A$5:$A$16,0))</f>
        <v/>
      </c>
      <c r="AC25" s="42">
        <f>IF(NOT(ISNUMBER(AA25)),"Loses money",IF(AA25&lt;INDEX(Vehicles!$S$5:$S$16,MATCH($B25,Vehicles!$A$5:$A$16,0)),"Too fast",IF(AA25&gt;INDEX(Vehicles!$T$5:$T$16,MATCH($B25,Vehicles!$A$5:$A$16,0)),"Too slow","OK")))</f>
        <v/>
      </c>
      <c r="AD25" s="67">
        <f>24/Q25</f>
        <v/>
      </c>
      <c r="AE25" s="67">
        <f>INDEX(Routes!$I$5:$I$20,MATCH($C25,Routes!$A$5:$A$20,0))/(I25*AD25)</f>
        <v/>
      </c>
      <c r="AF25" s="42">
        <f>IF(AND(INDEX(Vehicles!$Q$5:$Q$16,MATCH($B25,Vehicles!$A$5:$A$16,0))="No",K25="Line"),"Not allowed on highway",IF(AND(K25="Line",L25&gt;Settings!$B$26),"Line haul too long",IF(ISERROR(SEARCH(","&amp;B25&amp;",",","&amp;INDEX(Cargo!$C$4:$C$15,MATCH($D25,Cargo!$A$4:$A$15,0))&amp;",")),"Cargo not allowed on this vehicle","")))</f>
        <v/>
      </c>
    </row>
    <row r="26" ht="15" customHeight="1" s="37">
      <c r="A26" s="42" t="inlineStr">
        <is>
          <t>Rule check: van on highway</t>
        </is>
      </c>
      <c r="B26" s="59" t="n">
        <v>1</v>
      </c>
      <c r="C26" s="59" t="inlineStr">
        <is>
          <t>R05</t>
        </is>
      </c>
      <c r="D26" s="59" t="inlineStr">
        <is>
          <t>General dry</t>
        </is>
      </c>
      <c r="E26" s="60" t="n">
        <v>0</v>
      </c>
      <c r="F26" s="43">
        <f>INDEX(Vehicles!$B$5:$B$16,MATCH($B26,Vehicles!$A$5:$A$16,0))</f>
        <v/>
      </c>
      <c r="G26" s="44">
        <f>INDEX(Vehicles!$E$5:$E$16,MATCH($B26,Vehicles!$A$5:$A$16,0))</f>
        <v/>
      </c>
      <c r="H26" s="64">
        <f>INDEX(Vehicles!$F$5:$F$16,MATCH($B26,Vehicles!$A$5:$A$16,0))</f>
        <v/>
      </c>
      <c r="I26" s="65">
        <f>H26+MAX(0,MIN(E26,INDEX(Vehicles!$G$5:$G$16,MATCH($B26,Vehicles!$A$5:$A$16,0))-H26))</f>
        <v/>
      </c>
      <c r="J26" s="66">
        <f>(I26-H26)/H26</f>
        <v/>
      </c>
      <c r="K26" s="43">
        <f>INDEX(Routes!$E$5:$E$20,MATCH($C26,Routes!$A$5:$A$20,0))</f>
        <v/>
      </c>
      <c r="L26" s="44">
        <f>INDEX(Routes!$D$5:$D$20,MATCH($C26,Routes!$A$5:$A$20,0))</f>
        <v/>
      </c>
      <c r="M26" s="58">
        <f>IF(K26="Local",2*L26,L26)</f>
        <v/>
      </c>
      <c r="N26" s="58">
        <f>I26*(Settings!$B$6+Settings!$B$7*L26)*INDEX(Cargo!$B$4:$B$15,MATCH($D26,Cargo!$A$4:$A$15,0))*INDEX(Vehicles!$O$5:$O$16,MATCH($B26,Vehicles!$A$5:$A$16,0))*Settings!$B$8</f>
        <v/>
      </c>
      <c r="O26" s="58">
        <f>M26*INDEX(Vehicles!$K$5:$K$16,MATCH($B26,Vehicles!$A$5:$A$16,0))*(1+Settings!$B$18*J26)</f>
        <v/>
      </c>
      <c r="P26" s="58">
        <f>INDEX(Tolls!$B$5:$F$11,MATCH(INDEX(Vehicles!$P$5:$P$16,MATCH($B26,Vehicles!$A$5:$A$16,0)),Tolls!$A$5:$A$11,0),MATCH(INDEX(Routes!$F$5:$F$20,MATCH($C26,Routes!$A$5:$A$20,0)),Tolls!$B$4:$F$4,0))*IF(K26="Local",2,1)</f>
        <v/>
      </c>
      <c r="Q26" s="65">
        <f>M26/INDEX(Vehicles!$H$5:$H$16,MATCH($B26,Vehicles!$A$5:$A$16,0))+INDEX(Vehicles!$N$5:$N$16,MATCH($B26,Vehicles!$A$5:$A$16,0))+INDEX(Routes!$H$5:$H$20,MATCH($C26,Routes!$A$5:$A$20,0))</f>
        <v/>
      </c>
      <c r="R26" s="58">
        <f>Q26*INDEX(Vehicles!$M$5:$M$16,MATCH($B26,Vehicles!$A$5:$A$16,0))</f>
        <v/>
      </c>
      <c r="S26" s="58">
        <f>M26*INDEX(Vehicles!$L$5:$L$16,MATCH($B26,Vehicles!$A$5:$A$16,0))*(1+Settings!$B$19*J26)</f>
        <v/>
      </c>
      <c r="T26" s="58">
        <f>IF(I26&gt;H26,INDEX(Routes!$G$5:$G$20,MATCH($C26,Routes!$A$5:$A$20,0))*Settings!$B$20*(Settings!$B$21+Settings!$B$22*(I26-H26)),0)</f>
        <v/>
      </c>
      <c r="U26" s="58">
        <f>G26*Settings!$B$23*M26/100*(1+Settings!$B$24*J26)*Settings!$B$25</f>
        <v/>
      </c>
      <c r="V26" s="58">
        <f>SUM(O26:P26)+SUM(R26:U26)</f>
        <v/>
      </c>
      <c r="W26" s="58">
        <f>N26-V26</f>
        <v/>
      </c>
      <c r="X26" s="66">
        <f>IF(N26&gt;0,W26/N26,0)</f>
        <v/>
      </c>
      <c r="Y26" s="67">
        <f>Q26*60/Settings!$B$9</f>
        <v/>
      </c>
      <c r="Z26" s="58">
        <f>IF(Y26&gt;0,W26/Y26*60,0)</f>
        <v/>
      </c>
      <c r="AA26" s="67">
        <f>IF(Z26&gt;0,G26/Z26,"Never")</f>
        <v/>
      </c>
      <c r="AB26" s="42">
        <f>INDEX(Vehicles!$S$5:$S$16,MATCH($B26,Vehicles!$A$5:$A$16,0))&amp;" to "&amp;INDEX(Vehicles!$T$5:$T$16,MATCH($B26,Vehicles!$A$5:$A$16,0))</f>
        <v/>
      </c>
      <c r="AC26" s="42">
        <f>IF(NOT(ISNUMBER(AA26)),"Loses money",IF(AA26&lt;INDEX(Vehicles!$S$5:$S$16,MATCH($B26,Vehicles!$A$5:$A$16,0)),"Too fast",IF(AA26&gt;INDEX(Vehicles!$T$5:$T$16,MATCH($B26,Vehicles!$A$5:$A$16,0)),"Too slow","OK")))</f>
        <v/>
      </c>
      <c r="AD26" s="67">
        <f>24/Q26</f>
        <v/>
      </c>
      <c r="AE26" s="67">
        <f>INDEX(Routes!$I$5:$I$20,MATCH($C26,Routes!$A$5:$A$20,0))/(I26*AD26)</f>
        <v/>
      </c>
      <c r="AF26" s="42">
        <f>IF(AND(INDEX(Vehicles!$Q$5:$Q$16,MATCH($B26,Vehicles!$A$5:$A$16,0))="No",K26="Line"),"Not allowed on highway",IF(AND(K26="Line",L26&gt;Settings!$B$26),"Line haul too long",IF(ISERROR(SEARCH(","&amp;B26&amp;",",","&amp;INDEX(Cargo!$C$4:$C$15,MATCH($D26,Cargo!$A$4:$A$15,0))&amp;",")),"Cargo not allowed on this vehicle","")))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I65"/>
  <sheetViews>
    <sheetView showFormulas="0" showGridLines="1" showRowColHeaders="1" showZeros="1" rightToLeft="0" tabSelected="0" showOutlineSymbols="1" defaultGridColor="1"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6" min="1" max="1"/>
    <col width="34" customWidth="1" style="36" min="2" max="2"/>
    <col width="14" customWidth="1" style="36" min="3" max="3"/>
    <col width="16" customWidth="1" style="36" min="4" max="5"/>
    <col width="22" customWidth="1" style="36" min="6" max="6"/>
    <col width="14" customWidth="1" style="36" min="7" max="7"/>
    <col width="16" customWidth="1" style="36" min="8" max="8"/>
    <col width="30" customWidth="1" style="36" min="9" max="9"/>
  </cols>
  <sheetData>
    <row r="1" ht="17.35" customHeight="1" s="37">
      <c r="A1" s="38" t="inlineStr">
        <is>
          <t>First hours of play: greedy purchase simulation</t>
        </is>
      </c>
      <c r="B1" s="39" t="n"/>
      <c r="C1" s="39" t="n"/>
      <c r="D1" s="39" t="n"/>
      <c r="E1" s="39" t="n"/>
      <c r="F1" s="39" t="n"/>
      <c r="G1" s="39" t="n"/>
      <c r="H1" s="39" t="n"/>
      <c r="I1" s="39" t="n"/>
    </row>
    <row r="2" ht="15" customHeight="1" s="37">
      <c r="A2" s="47" t="inlineStr">
        <is>
          <t>The player starts with the starting cash and one free Sathi Plus, then buys the next queue item as soon as cash allows (at most one per 5 minutes).</t>
        </is>
      </c>
      <c r="B2" s="39" t="n"/>
      <c r="C2" s="39" t="n"/>
      <c r="D2" s="39" t="n"/>
      <c r="E2" s="39" t="n"/>
      <c r="F2" s="39" t="n"/>
      <c r="G2" s="39" t="n"/>
      <c r="H2" s="39" t="n"/>
      <c r="I2" s="39" t="n"/>
    </row>
    <row r="3" ht="15" customHeight="1" s="37">
      <c r="A3" s="39" t="n"/>
      <c r="B3" s="39" t="n"/>
      <c r="C3" s="39" t="n"/>
      <c r="D3" s="39" t="n"/>
      <c r="E3" s="39" t="n"/>
      <c r="F3" s="39" t="n"/>
      <c r="G3" s="39" t="n"/>
      <c r="H3" s="39" t="n"/>
      <c r="I3" s="39" t="n"/>
    </row>
    <row r="4" ht="26.85" customHeight="1" s="37">
      <c r="A4" s="41" t="inlineStr">
        <is>
          <t>Starting cash (Tk)</t>
        </is>
      </c>
      <c r="B4" s="44">
        <f>Settings!$B$16</f>
        <v/>
      </c>
      <c r="C4" s="39" t="n"/>
      <c r="D4" s="39" t="n"/>
      <c r="E4" s="39" t="n"/>
      <c r="F4" s="68" t="inlineStr">
        <is>
          <t>Purchases in first 60 min</t>
        </is>
      </c>
      <c r="G4" s="42">
        <f>COUNTIFS($A$17:$A$65,"&lt;60",$F$17:$F$65,1)</f>
        <v/>
      </c>
      <c r="H4" s="39" t="n"/>
      <c r="I4" s="39" t="n"/>
    </row>
    <row r="5" ht="26.85" customHeight="1" s="37">
      <c r="A5" s="41" t="inlineStr">
        <is>
          <t>Starter vehicle profit per real hour at 1x (Tk)</t>
        </is>
      </c>
      <c r="B5" s="44">
        <f>'Trip Calculator'!Z8</f>
        <v/>
      </c>
      <c r="C5" s="39" t="n"/>
      <c r="D5" s="39" t="n"/>
      <c r="E5" s="39" t="n"/>
      <c r="F5" s="68" t="inlineStr">
        <is>
          <t>Purchases in first 4 hours</t>
        </is>
      </c>
      <c r="G5" s="42">
        <f>SUM($F$17:$F$65)</f>
        <v/>
      </c>
      <c r="H5" s="39" t="n"/>
      <c r="I5" s="39" t="n"/>
    </row>
    <row r="6" ht="26.85" customHeight="1" s="37">
      <c r="A6" s="39" t="n"/>
      <c r="B6" s="39" t="n"/>
      <c r="C6" s="39" t="n"/>
      <c r="D6" s="39" t="n"/>
      <c r="E6" s="39" t="n"/>
      <c r="F6" s="68" t="inlineStr">
        <is>
          <t>Fleet profit per hour after Turbo Start (Tk)</t>
        </is>
      </c>
      <c r="G6" s="58">
        <f>INDEX($H$17:$H$65,MATCH(Settings!$B$14,$A$17:$A$65,0))</f>
        <v/>
      </c>
      <c r="H6" s="39" t="n"/>
      <c r="I6" s="39" t="n"/>
    </row>
    <row r="7" ht="45" customHeight="1" s="37">
      <c r="A7" s="45" t="inlineStr">
        <is>
          <t>#</t>
        </is>
      </c>
      <c r="B7" s="45" t="inlineStr">
        <is>
          <t>Purchase queue item</t>
        </is>
      </c>
      <c r="C7" s="45" t="inlineStr">
        <is>
          <t>Price (Tk)</t>
        </is>
      </c>
      <c r="D7" s="45" t="inlineStr">
        <is>
          <t>Adds profit per real hour at 1x (Tk)</t>
        </is>
      </c>
      <c r="E7" s="39" t="n"/>
      <c r="F7" s="39" t="n"/>
      <c r="G7" s="39" t="n"/>
      <c r="H7" s="39" t="n"/>
      <c r="I7" s="39" t="n"/>
    </row>
    <row r="8" ht="15" customHeight="1" s="37">
      <c r="A8" s="42" t="n">
        <v>1</v>
      </c>
      <c r="B8" s="59" t="inlineStr">
        <is>
          <t>Tuntuni Mini on Dhaka city route</t>
        </is>
      </c>
      <c r="C8" s="44">
        <f>'Trip Calculator'!G7</f>
        <v/>
      </c>
      <c r="D8" s="44">
        <f>'Trip Calculator'!Z7</f>
        <v/>
      </c>
      <c r="E8" s="39" t="n"/>
      <c r="F8" s="39" t="n"/>
      <c r="G8" s="39" t="n"/>
      <c r="H8" s="39" t="n"/>
      <c r="I8" s="39" t="n"/>
    </row>
    <row r="9" ht="15" customHeight="1" s="37">
      <c r="A9" s="42" t="n">
        <v>2</v>
      </c>
      <c r="B9" s="59" t="inlineStr">
        <is>
          <t>Sathi Plus to Narayanganj</t>
        </is>
      </c>
      <c r="C9" s="44">
        <f>'Trip Calculator'!G23</f>
        <v/>
      </c>
      <c r="D9" s="44">
        <f>'Trip Calculator'!Z23</f>
        <v/>
      </c>
      <c r="E9" s="39" t="n"/>
      <c r="F9" s="39" t="n"/>
      <c r="G9" s="39" t="n"/>
      <c r="H9" s="39" t="n"/>
      <c r="I9" s="39" t="n"/>
    </row>
    <row r="10" ht="15" customHeight="1" s="37">
      <c r="A10" s="42" t="n">
        <v>3</v>
      </c>
      <c r="B10" s="59" t="inlineStr">
        <is>
          <t>Terminal in Gazipur</t>
        </is>
      </c>
      <c r="C10" s="44">
        <f>Settings!$B$17</f>
        <v/>
      </c>
      <c r="D10" s="48" t="n">
        <v>0</v>
      </c>
      <c r="E10" s="39" t="n"/>
      <c r="F10" s="39" t="n"/>
      <c r="G10" s="39" t="n"/>
      <c r="H10" s="39" t="n"/>
      <c r="I10" s="39" t="n"/>
    </row>
    <row r="11" ht="15" customHeight="1" s="37">
      <c r="A11" s="42" t="n">
        <v>4</v>
      </c>
      <c r="B11" s="59" t="inlineStr">
        <is>
          <t>Sathi Plus to Gazipur</t>
        </is>
      </c>
      <c r="C11" s="44">
        <f>'Trip Calculator'!G25</f>
        <v/>
      </c>
      <c r="D11" s="44">
        <f>'Trip Calculator'!Z25</f>
        <v/>
      </c>
      <c r="E11" s="39" t="n"/>
      <c r="F11" s="39" t="n"/>
      <c r="G11" s="39" t="n"/>
      <c r="H11" s="39" t="n"/>
      <c r="I11" s="39" t="n"/>
    </row>
    <row r="12" ht="15" customHeight="1" s="37">
      <c r="A12" s="42" t="n">
        <v>5</v>
      </c>
      <c r="B12" s="59" t="inlineStr">
        <is>
          <t>Meghna 14 Dhaka-Cumilla</t>
        </is>
      </c>
      <c r="C12" s="44">
        <f>'Trip Calculator'!G24</f>
        <v/>
      </c>
      <c r="D12" s="44">
        <f>'Trip Calculator'!Z24</f>
        <v/>
      </c>
      <c r="E12" s="39" t="n"/>
      <c r="F12" s="39" t="n"/>
      <c r="G12" s="39" t="n"/>
      <c r="H12" s="39" t="n"/>
      <c r="I12" s="39" t="n"/>
    </row>
    <row r="13" ht="15" customHeight="1" s="37">
      <c r="A13" s="42" t="n">
        <v>6</v>
      </c>
      <c r="B13" s="59" t="inlineStr">
        <is>
          <t>Jamuna Open Dhaka-Chattogram</t>
        </is>
      </c>
      <c r="C13" s="44">
        <f>'Trip Calculator'!G10</f>
        <v/>
      </c>
      <c r="D13" s="44">
        <f>'Trip Calculator'!Z10</f>
        <v/>
      </c>
      <c r="E13" s="39" t="n"/>
      <c r="F13" s="39" t="n"/>
      <c r="G13" s="39" t="n"/>
      <c r="H13" s="39" t="n"/>
      <c r="I13" s="39" t="n"/>
    </row>
    <row r="14" ht="15" customHeight="1" s="37">
      <c r="A14" s="39" t="n"/>
      <c r="B14" s="39" t="n"/>
      <c r="C14" s="39" t="n"/>
      <c r="D14" s="39" t="n"/>
      <c r="E14" s="39" t="n"/>
      <c r="F14" s="39" t="n"/>
      <c r="G14" s="39" t="n"/>
      <c r="H14" s="39" t="n"/>
      <c r="I14" s="39" t="n"/>
    </row>
    <row r="15" ht="15" customHeight="1" s="37">
      <c r="A15" s="39" t="n"/>
      <c r="B15" s="39" t="n"/>
      <c r="C15" s="39" t="n"/>
      <c r="D15" s="39" t="n"/>
      <c r="E15" s="39" t="n"/>
      <c r="F15" s="39" t="n"/>
      <c r="G15" s="39" t="n"/>
      <c r="H15" s="39" t="n"/>
      <c r="I15" s="39" t="n"/>
    </row>
    <row r="16" ht="45" customHeight="1" s="37">
      <c r="A16" s="45" t="inlineStr">
        <is>
          <t>Real minute</t>
        </is>
      </c>
      <c r="B16" s="45" t="inlineStr">
        <is>
          <t>Speed (x)</t>
        </is>
      </c>
      <c r="C16" s="45" t="inlineStr">
        <is>
          <t>Income this step (Tk)</t>
        </is>
      </c>
      <c r="D16" s="45" t="inlineStr">
        <is>
          <t>Cash before buying (Tk)</t>
        </is>
      </c>
      <c r="E16" s="45" t="inlineStr">
        <is>
          <t>Next queue item #</t>
        </is>
      </c>
      <c r="F16" s="45" t="inlineStr">
        <is>
          <t>Bought? (1 = yes)</t>
        </is>
      </c>
      <c r="G16" s="45" t="inlineStr">
        <is>
          <t>Cash after (Tk)</t>
        </is>
      </c>
      <c r="H16" s="45" t="inlineStr">
        <is>
          <t>Fleet profit per real hour at 1x (Tk)</t>
        </is>
      </c>
      <c r="I16" s="45" t="inlineStr">
        <is>
          <t>Event</t>
        </is>
      </c>
    </row>
    <row r="17" ht="15" customHeight="1" s="37">
      <c r="A17" s="42" t="n">
        <v>0</v>
      </c>
      <c r="B17" s="69">
        <f>IF(A17&lt;Settings!$B$10,Settings!$B$11,IF(A17&lt;Settings!$B$12,Settings!$B$13,IF(A17&lt;Settings!$B$14,Settings!$B$15,1)))</f>
        <v/>
      </c>
      <c r="C17" s="58" t="n">
        <v>0</v>
      </c>
      <c r="D17" s="58">
        <f>$B$4</f>
        <v/>
      </c>
      <c r="E17" s="42" t="n">
        <v>1</v>
      </c>
      <c r="F17" s="42">
        <f>IF(E17&lt;=6,IF(D17&gt;=INDEX($C$8:$C$13,E17),1,0),0)</f>
        <v/>
      </c>
      <c r="G17" s="58">
        <f>D17-F17*IF(E17&lt;=6,INDEX($C$8:$C$13,E17),0)</f>
        <v/>
      </c>
      <c r="H17" s="58">
        <f>$B$5+F17*IF(E17&lt;=6,INDEX($D$8:$D$13,E17),0)</f>
        <v/>
      </c>
      <c r="I17" s="42">
        <f>IF(F17=1,"Bought: "&amp;INDEX($B$8:$B$13,E17),"")</f>
        <v/>
      </c>
    </row>
    <row r="18" ht="15" customHeight="1" s="37">
      <c r="A18" s="42" t="n">
        <v>5</v>
      </c>
      <c r="B18" s="69">
        <f>IF(A18&lt;Settings!$B$10,Settings!$B$11,IF(A18&lt;Settings!$B$12,Settings!$B$13,IF(A18&lt;Settings!$B$14,Settings!$B$15,1)))</f>
        <v/>
      </c>
      <c r="C18" s="58">
        <f>H17*B17*5/60</f>
        <v/>
      </c>
      <c r="D18" s="58">
        <f>G17+C18</f>
        <v/>
      </c>
      <c r="E18" s="42">
        <f>E17+F17</f>
        <v/>
      </c>
      <c r="F18" s="42">
        <f>IF(E18&lt;=6,IF(D18&gt;=INDEX($C$8:$C$13,E18),1,0),0)</f>
        <v/>
      </c>
      <c r="G18" s="58">
        <f>D18-F18*IF(E18&lt;=6,INDEX($C$8:$C$13,E18),0)</f>
        <v/>
      </c>
      <c r="H18" s="58">
        <f>H17+F18*IF(E18&lt;=6,INDEX($D$8:$D$13,E18),0)</f>
        <v/>
      </c>
      <c r="I18" s="42">
        <f>IF(F18=1,"Bought: "&amp;INDEX($B$8:$B$13,E18),"")</f>
        <v/>
      </c>
    </row>
    <row r="19" ht="15" customHeight="1" s="37">
      <c r="A19" s="42" t="n">
        <v>10</v>
      </c>
      <c r="B19" s="69">
        <f>IF(A19&lt;Settings!$B$10,Settings!$B$11,IF(A19&lt;Settings!$B$12,Settings!$B$13,IF(A19&lt;Settings!$B$14,Settings!$B$15,1)))</f>
        <v/>
      </c>
      <c r="C19" s="58">
        <f>H18*B18*5/60</f>
        <v/>
      </c>
      <c r="D19" s="58">
        <f>G18+C19</f>
        <v/>
      </c>
      <c r="E19" s="42">
        <f>E18+F18</f>
        <v/>
      </c>
      <c r="F19" s="42">
        <f>IF(E19&lt;=6,IF(D19&gt;=INDEX($C$8:$C$13,E19),1,0),0)</f>
        <v/>
      </c>
      <c r="G19" s="58">
        <f>D19-F19*IF(E19&lt;=6,INDEX($C$8:$C$13,E19),0)</f>
        <v/>
      </c>
      <c r="H19" s="58">
        <f>H18+F19*IF(E19&lt;=6,INDEX($D$8:$D$13,E19),0)</f>
        <v/>
      </c>
      <c r="I19" s="42">
        <f>IF(F19=1,"Bought: "&amp;INDEX($B$8:$B$13,E19),"")</f>
        <v/>
      </c>
    </row>
    <row r="20" ht="15" customHeight="1" s="37">
      <c r="A20" s="42" t="n">
        <v>15</v>
      </c>
      <c r="B20" s="69">
        <f>IF(A20&lt;Settings!$B$10,Settings!$B$11,IF(A20&lt;Settings!$B$12,Settings!$B$13,IF(A20&lt;Settings!$B$14,Settings!$B$15,1)))</f>
        <v/>
      </c>
      <c r="C20" s="58">
        <f>H19*B19*5/60</f>
        <v/>
      </c>
      <c r="D20" s="58">
        <f>G19+C20</f>
        <v/>
      </c>
      <c r="E20" s="42">
        <f>E19+F19</f>
        <v/>
      </c>
      <c r="F20" s="42">
        <f>IF(E20&lt;=6,IF(D20&gt;=INDEX($C$8:$C$13,E20),1,0),0)</f>
        <v/>
      </c>
      <c r="G20" s="58">
        <f>D20-F20*IF(E20&lt;=6,INDEX($C$8:$C$13,E20),0)</f>
        <v/>
      </c>
      <c r="H20" s="58">
        <f>H19+F20*IF(E20&lt;=6,INDEX($D$8:$D$13,E20),0)</f>
        <v/>
      </c>
      <c r="I20" s="42">
        <f>IF(F20=1,"Bought: "&amp;INDEX($B$8:$B$13,E20),"")</f>
        <v/>
      </c>
    </row>
    <row r="21" ht="15" customHeight="1" s="37">
      <c r="A21" s="70" t="n">
        <v>20</v>
      </c>
      <c r="B21" s="71">
        <f>IF(A21&lt;Settings!$B$10,Settings!$B$11,IF(A21&lt;Settings!$B$12,Settings!$B$13,IF(A21&lt;Settings!$B$14,Settings!$B$15,1)))</f>
        <v/>
      </c>
      <c r="C21" s="72">
        <f>H20*B20*5/60</f>
        <v/>
      </c>
      <c r="D21" s="72">
        <f>G20+C21</f>
        <v/>
      </c>
      <c r="E21" s="70">
        <f>E20+F20</f>
        <v/>
      </c>
      <c r="F21" s="70">
        <f>IF(E21&lt;=6,IF(D21&gt;=INDEX($C$8:$C$13,E21),1,0),0)</f>
        <v/>
      </c>
      <c r="G21" s="72">
        <f>D21-F21*IF(E21&lt;=6,INDEX($C$8:$C$13,E21),0)</f>
        <v/>
      </c>
      <c r="H21" s="72">
        <f>H20+F21*IF(E21&lt;=6,INDEX($D$8:$D$13,E21),0)</f>
        <v/>
      </c>
      <c r="I21" s="70">
        <f>IF(F21=1,"Bought: "&amp;INDEX($B$8:$B$13,E21),"")</f>
        <v/>
      </c>
    </row>
    <row r="22" ht="15" customHeight="1" s="37">
      <c r="A22" s="42" t="n">
        <v>25</v>
      </c>
      <c r="B22" s="69">
        <f>IF(A22&lt;Settings!$B$10,Settings!$B$11,IF(A22&lt;Settings!$B$12,Settings!$B$13,IF(A22&lt;Settings!$B$14,Settings!$B$15,1)))</f>
        <v/>
      </c>
      <c r="C22" s="58">
        <f>H21*B21*5/60</f>
        <v/>
      </c>
      <c r="D22" s="58">
        <f>G21+C22</f>
        <v/>
      </c>
      <c r="E22" s="42">
        <f>E21+F21</f>
        <v/>
      </c>
      <c r="F22" s="42">
        <f>IF(E22&lt;=6,IF(D22&gt;=INDEX($C$8:$C$13,E22),1,0),0)</f>
        <v/>
      </c>
      <c r="G22" s="58">
        <f>D22-F22*IF(E22&lt;=6,INDEX($C$8:$C$13,E22),0)</f>
        <v/>
      </c>
      <c r="H22" s="58">
        <f>H21+F22*IF(E22&lt;=6,INDEX($D$8:$D$13,E22),0)</f>
        <v/>
      </c>
      <c r="I22" s="42">
        <f>IF(F22=1,"Bought: "&amp;INDEX($B$8:$B$13,E22),"")</f>
        <v/>
      </c>
    </row>
    <row r="23" ht="15" customHeight="1" s="37">
      <c r="A23" s="42" t="n">
        <v>30</v>
      </c>
      <c r="B23" s="69">
        <f>IF(A23&lt;Settings!$B$10,Settings!$B$11,IF(A23&lt;Settings!$B$12,Settings!$B$13,IF(A23&lt;Settings!$B$14,Settings!$B$15,1)))</f>
        <v/>
      </c>
      <c r="C23" s="58">
        <f>H22*B22*5/60</f>
        <v/>
      </c>
      <c r="D23" s="58">
        <f>G22+C23</f>
        <v/>
      </c>
      <c r="E23" s="42">
        <f>E22+F22</f>
        <v/>
      </c>
      <c r="F23" s="42">
        <f>IF(E23&lt;=6,IF(D23&gt;=INDEX($C$8:$C$13,E23),1,0),0)</f>
        <v/>
      </c>
      <c r="G23" s="58">
        <f>D23-F23*IF(E23&lt;=6,INDEX($C$8:$C$13,E23),0)</f>
        <v/>
      </c>
      <c r="H23" s="58">
        <f>H22+F23*IF(E23&lt;=6,INDEX($D$8:$D$13,E23),0)</f>
        <v/>
      </c>
      <c r="I23" s="42">
        <f>IF(F23=1,"Bought: "&amp;INDEX($B$8:$B$13,E23),"")</f>
        <v/>
      </c>
    </row>
    <row r="24" ht="15" customHeight="1" s="37">
      <c r="A24" s="42" t="n">
        <v>35</v>
      </c>
      <c r="B24" s="69">
        <f>IF(A24&lt;Settings!$B$10,Settings!$B$11,IF(A24&lt;Settings!$B$12,Settings!$B$13,IF(A24&lt;Settings!$B$14,Settings!$B$15,1)))</f>
        <v/>
      </c>
      <c r="C24" s="58">
        <f>H23*B23*5/60</f>
        <v/>
      </c>
      <c r="D24" s="58">
        <f>G23+C24</f>
        <v/>
      </c>
      <c r="E24" s="42">
        <f>E23+F23</f>
        <v/>
      </c>
      <c r="F24" s="42">
        <f>IF(E24&lt;=6,IF(D24&gt;=INDEX($C$8:$C$13,E24),1,0),0)</f>
        <v/>
      </c>
      <c r="G24" s="58">
        <f>D24-F24*IF(E24&lt;=6,INDEX($C$8:$C$13,E24),0)</f>
        <v/>
      </c>
      <c r="H24" s="58">
        <f>H23+F24*IF(E24&lt;=6,INDEX($D$8:$D$13,E24),0)</f>
        <v/>
      </c>
      <c r="I24" s="42">
        <f>IF(F24=1,"Bought: "&amp;INDEX($B$8:$B$13,E24),"")</f>
        <v/>
      </c>
    </row>
    <row r="25" ht="15" customHeight="1" s="37">
      <c r="A25" s="70" t="n">
        <v>40</v>
      </c>
      <c r="B25" s="71">
        <f>IF(A25&lt;Settings!$B$10,Settings!$B$11,IF(A25&lt;Settings!$B$12,Settings!$B$13,IF(A25&lt;Settings!$B$14,Settings!$B$15,1)))</f>
        <v/>
      </c>
      <c r="C25" s="72">
        <f>H24*B24*5/60</f>
        <v/>
      </c>
      <c r="D25" s="72">
        <f>G24+C25</f>
        <v/>
      </c>
      <c r="E25" s="70">
        <f>E24+F24</f>
        <v/>
      </c>
      <c r="F25" s="70">
        <f>IF(E25&lt;=6,IF(D25&gt;=INDEX($C$8:$C$13,E25),1,0),0)</f>
        <v/>
      </c>
      <c r="G25" s="72">
        <f>D25-F25*IF(E25&lt;=6,INDEX($C$8:$C$13,E25),0)</f>
        <v/>
      </c>
      <c r="H25" s="72">
        <f>H24+F25*IF(E25&lt;=6,INDEX($D$8:$D$13,E25),0)</f>
        <v/>
      </c>
      <c r="I25" s="70">
        <f>IF(F25=1,"Bought: "&amp;INDEX($B$8:$B$13,E25),"")</f>
        <v/>
      </c>
    </row>
    <row r="26" ht="15" customHeight="1" s="37">
      <c r="A26" s="42" t="n">
        <v>45</v>
      </c>
      <c r="B26" s="69">
        <f>IF(A26&lt;Settings!$B$10,Settings!$B$11,IF(A26&lt;Settings!$B$12,Settings!$B$13,IF(A26&lt;Settings!$B$14,Settings!$B$15,1)))</f>
        <v/>
      </c>
      <c r="C26" s="58">
        <f>H25*B25*5/60</f>
        <v/>
      </c>
      <c r="D26" s="58">
        <f>G25+C26</f>
        <v/>
      </c>
      <c r="E26" s="42">
        <f>E25+F25</f>
        <v/>
      </c>
      <c r="F26" s="42">
        <f>IF(E26&lt;=6,IF(D26&gt;=INDEX($C$8:$C$13,E26),1,0),0)</f>
        <v/>
      </c>
      <c r="G26" s="58">
        <f>D26-F26*IF(E26&lt;=6,INDEX($C$8:$C$13,E26),0)</f>
        <v/>
      </c>
      <c r="H26" s="58">
        <f>H25+F26*IF(E26&lt;=6,INDEX($D$8:$D$13,E26),0)</f>
        <v/>
      </c>
      <c r="I26" s="42">
        <f>IF(F26=1,"Bought: "&amp;INDEX($B$8:$B$13,E26),"")</f>
        <v/>
      </c>
    </row>
    <row r="27" ht="15" customHeight="1" s="37">
      <c r="A27" s="42" t="n">
        <v>50</v>
      </c>
      <c r="B27" s="69">
        <f>IF(A27&lt;Settings!$B$10,Settings!$B$11,IF(A27&lt;Settings!$B$12,Settings!$B$13,IF(A27&lt;Settings!$B$14,Settings!$B$15,1)))</f>
        <v/>
      </c>
      <c r="C27" s="58">
        <f>H26*B26*5/60</f>
        <v/>
      </c>
      <c r="D27" s="58">
        <f>G26+C27</f>
        <v/>
      </c>
      <c r="E27" s="42">
        <f>E26+F26</f>
        <v/>
      </c>
      <c r="F27" s="42">
        <f>IF(E27&lt;=6,IF(D27&gt;=INDEX($C$8:$C$13,E27),1,0),0)</f>
        <v/>
      </c>
      <c r="G27" s="58">
        <f>D27-F27*IF(E27&lt;=6,INDEX($C$8:$C$13,E27),0)</f>
        <v/>
      </c>
      <c r="H27" s="58">
        <f>H26+F27*IF(E27&lt;=6,INDEX($D$8:$D$13,E27),0)</f>
        <v/>
      </c>
      <c r="I27" s="42">
        <f>IF(F27=1,"Bought: "&amp;INDEX($B$8:$B$13,E27),"")</f>
        <v/>
      </c>
    </row>
    <row r="28" ht="15" customHeight="1" s="37">
      <c r="A28" s="42" t="n">
        <v>55</v>
      </c>
      <c r="B28" s="69">
        <f>IF(A28&lt;Settings!$B$10,Settings!$B$11,IF(A28&lt;Settings!$B$12,Settings!$B$13,IF(A28&lt;Settings!$B$14,Settings!$B$15,1)))</f>
        <v/>
      </c>
      <c r="C28" s="58">
        <f>H27*B27*5/60</f>
        <v/>
      </c>
      <c r="D28" s="58">
        <f>G27+C28</f>
        <v/>
      </c>
      <c r="E28" s="42">
        <f>E27+F27</f>
        <v/>
      </c>
      <c r="F28" s="42">
        <f>IF(E28&lt;=6,IF(D28&gt;=INDEX($C$8:$C$13,E28),1,0),0)</f>
        <v/>
      </c>
      <c r="G28" s="58">
        <f>D28-F28*IF(E28&lt;=6,INDEX($C$8:$C$13,E28),0)</f>
        <v/>
      </c>
      <c r="H28" s="58">
        <f>H27+F28*IF(E28&lt;=6,INDEX($D$8:$D$13,E28),0)</f>
        <v/>
      </c>
      <c r="I28" s="42">
        <f>IF(F28=1,"Bought: "&amp;INDEX($B$8:$B$13,E28),"")</f>
        <v/>
      </c>
    </row>
    <row r="29" ht="15" customHeight="1" s="37">
      <c r="A29" s="70" t="n">
        <v>60</v>
      </c>
      <c r="B29" s="71">
        <f>IF(A29&lt;Settings!$B$10,Settings!$B$11,IF(A29&lt;Settings!$B$12,Settings!$B$13,IF(A29&lt;Settings!$B$14,Settings!$B$15,1)))</f>
        <v/>
      </c>
      <c r="C29" s="72">
        <f>H28*B28*5/60</f>
        <v/>
      </c>
      <c r="D29" s="72">
        <f>G28+C29</f>
        <v/>
      </c>
      <c r="E29" s="70">
        <f>E28+F28</f>
        <v/>
      </c>
      <c r="F29" s="70">
        <f>IF(E29&lt;=6,IF(D29&gt;=INDEX($C$8:$C$13,E29),1,0),0)</f>
        <v/>
      </c>
      <c r="G29" s="72">
        <f>D29-F29*IF(E29&lt;=6,INDEX($C$8:$C$13,E29),0)</f>
        <v/>
      </c>
      <c r="H29" s="72">
        <f>H28+F29*IF(E29&lt;=6,INDEX($D$8:$D$13,E29),0)</f>
        <v/>
      </c>
      <c r="I29" s="70">
        <f>IF(F29=1,"Bought: "&amp;INDEX($B$8:$B$13,E29),"")</f>
        <v/>
      </c>
    </row>
    <row r="30" ht="15" customHeight="1" s="37">
      <c r="A30" s="42" t="n">
        <v>65</v>
      </c>
      <c r="B30" s="69">
        <f>IF(A30&lt;Settings!$B$10,Settings!$B$11,IF(A30&lt;Settings!$B$12,Settings!$B$13,IF(A30&lt;Settings!$B$14,Settings!$B$15,1)))</f>
        <v/>
      </c>
      <c r="C30" s="58">
        <f>H29*B29*5/60</f>
        <v/>
      </c>
      <c r="D30" s="58">
        <f>G29+C30</f>
        <v/>
      </c>
      <c r="E30" s="42">
        <f>E29+F29</f>
        <v/>
      </c>
      <c r="F30" s="42">
        <f>IF(E30&lt;=6,IF(D30&gt;=INDEX($C$8:$C$13,E30),1,0),0)</f>
        <v/>
      </c>
      <c r="G30" s="58">
        <f>D30-F30*IF(E30&lt;=6,INDEX($C$8:$C$13,E30),0)</f>
        <v/>
      </c>
      <c r="H30" s="58">
        <f>H29+F30*IF(E30&lt;=6,INDEX($D$8:$D$13,E30),0)</f>
        <v/>
      </c>
      <c r="I30" s="42">
        <f>IF(F30=1,"Bought: "&amp;INDEX($B$8:$B$13,E30),"")</f>
        <v/>
      </c>
    </row>
    <row r="31" ht="15" customHeight="1" s="37">
      <c r="A31" s="42" t="n">
        <v>70</v>
      </c>
      <c r="B31" s="69">
        <f>IF(A31&lt;Settings!$B$10,Settings!$B$11,IF(A31&lt;Settings!$B$12,Settings!$B$13,IF(A31&lt;Settings!$B$14,Settings!$B$15,1)))</f>
        <v/>
      </c>
      <c r="C31" s="58">
        <f>H30*B30*5/60</f>
        <v/>
      </c>
      <c r="D31" s="58">
        <f>G30+C31</f>
        <v/>
      </c>
      <c r="E31" s="42">
        <f>E30+F30</f>
        <v/>
      </c>
      <c r="F31" s="42">
        <f>IF(E31&lt;=6,IF(D31&gt;=INDEX($C$8:$C$13,E31),1,0),0)</f>
        <v/>
      </c>
      <c r="G31" s="58">
        <f>D31-F31*IF(E31&lt;=6,INDEX($C$8:$C$13,E31),0)</f>
        <v/>
      </c>
      <c r="H31" s="58">
        <f>H30+F31*IF(E31&lt;=6,INDEX($D$8:$D$13,E31),0)</f>
        <v/>
      </c>
      <c r="I31" s="42">
        <f>IF(F31=1,"Bought: "&amp;INDEX($B$8:$B$13,E31),"")</f>
        <v/>
      </c>
    </row>
    <row r="32" ht="15" customHeight="1" s="37">
      <c r="A32" s="42" t="n">
        <v>75</v>
      </c>
      <c r="B32" s="69">
        <f>IF(A32&lt;Settings!$B$10,Settings!$B$11,IF(A32&lt;Settings!$B$12,Settings!$B$13,IF(A32&lt;Settings!$B$14,Settings!$B$15,1)))</f>
        <v/>
      </c>
      <c r="C32" s="58">
        <f>H31*B31*5/60</f>
        <v/>
      </c>
      <c r="D32" s="58">
        <f>G31+C32</f>
        <v/>
      </c>
      <c r="E32" s="42">
        <f>E31+F31</f>
        <v/>
      </c>
      <c r="F32" s="42">
        <f>IF(E32&lt;=6,IF(D32&gt;=INDEX($C$8:$C$13,E32),1,0),0)</f>
        <v/>
      </c>
      <c r="G32" s="58">
        <f>D32-F32*IF(E32&lt;=6,INDEX($C$8:$C$13,E32),0)</f>
        <v/>
      </c>
      <c r="H32" s="58">
        <f>H31+F32*IF(E32&lt;=6,INDEX($D$8:$D$13,E32),0)</f>
        <v/>
      </c>
      <c r="I32" s="42">
        <f>IF(F32=1,"Bought: "&amp;INDEX($B$8:$B$13,E32),"")</f>
        <v/>
      </c>
    </row>
    <row r="33" ht="15" customHeight="1" s="37">
      <c r="A33" s="42" t="n">
        <v>80</v>
      </c>
      <c r="B33" s="69">
        <f>IF(A33&lt;Settings!$B$10,Settings!$B$11,IF(A33&lt;Settings!$B$12,Settings!$B$13,IF(A33&lt;Settings!$B$14,Settings!$B$15,1)))</f>
        <v/>
      </c>
      <c r="C33" s="58">
        <f>H32*B32*5/60</f>
        <v/>
      </c>
      <c r="D33" s="58">
        <f>G32+C33</f>
        <v/>
      </c>
      <c r="E33" s="42">
        <f>E32+F32</f>
        <v/>
      </c>
      <c r="F33" s="42">
        <f>IF(E33&lt;=6,IF(D33&gt;=INDEX($C$8:$C$13,E33),1,0),0)</f>
        <v/>
      </c>
      <c r="G33" s="58">
        <f>D33-F33*IF(E33&lt;=6,INDEX($C$8:$C$13,E33),0)</f>
        <v/>
      </c>
      <c r="H33" s="58">
        <f>H32+F33*IF(E33&lt;=6,INDEX($D$8:$D$13,E33),0)</f>
        <v/>
      </c>
      <c r="I33" s="42">
        <f>IF(F33=1,"Bought: "&amp;INDEX($B$8:$B$13,E33),"")</f>
        <v/>
      </c>
    </row>
    <row r="34" ht="15" customHeight="1" s="37">
      <c r="A34" s="42" t="n">
        <v>85</v>
      </c>
      <c r="B34" s="69">
        <f>IF(A34&lt;Settings!$B$10,Settings!$B$11,IF(A34&lt;Settings!$B$12,Settings!$B$13,IF(A34&lt;Settings!$B$14,Settings!$B$15,1)))</f>
        <v/>
      </c>
      <c r="C34" s="58">
        <f>H33*B33*5/60</f>
        <v/>
      </c>
      <c r="D34" s="58">
        <f>G33+C34</f>
        <v/>
      </c>
      <c r="E34" s="42">
        <f>E33+F33</f>
        <v/>
      </c>
      <c r="F34" s="42">
        <f>IF(E34&lt;=6,IF(D34&gt;=INDEX($C$8:$C$13,E34),1,0),0)</f>
        <v/>
      </c>
      <c r="G34" s="58">
        <f>D34-F34*IF(E34&lt;=6,INDEX($C$8:$C$13,E34),0)</f>
        <v/>
      </c>
      <c r="H34" s="58">
        <f>H33+F34*IF(E34&lt;=6,INDEX($D$8:$D$13,E34),0)</f>
        <v/>
      </c>
      <c r="I34" s="42">
        <f>IF(F34=1,"Bought: "&amp;INDEX($B$8:$B$13,E34),"")</f>
        <v/>
      </c>
    </row>
    <row r="35" ht="15" customHeight="1" s="37">
      <c r="A35" s="42" t="n">
        <v>90</v>
      </c>
      <c r="B35" s="69">
        <f>IF(A35&lt;Settings!$B$10,Settings!$B$11,IF(A35&lt;Settings!$B$12,Settings!$B$13,IF(A35&lt;Settings!$B$14,Settings!$B$15,1)))</f>
        <v/>
      </c>
      <c r="C35" s="58">
        <f>H34*B34*5/60</f>
        <v/>
      </c>
      <c r="D35" s="58">
        <f>G34+C35</f>
        <v/>
      </c>
      <c r="E35" s="42">
        <f>E34+F34</f>
        <v/>
      </c>
      <c r="F35" s="42">
        <f>IF(E35&lt;=6,IF(D35&gt;=INDEX($C$8:$C$13,E35),1,0),0)</f>
        <v/>
      </c>
      <c r="G35" s="58">
        <f>D35-F35*IF(E35&lt;=6,INDEX($C$8:$C$13,E35),0)</f>
        <v/>
      </c>
      <c r="H35" s="58">
        <f>H34+F35*IF(E35&lt;=6,INDEX($D$8:$D$13,E35),0)</f>
        <v/>
      </c>
      <c r="I35" s="42">
        <f>IF(F35=1,"Bought: "&amp;INDEX($B$8:$B$13,E35),"")</f>
        <v/>
      </c>
    </row>
    <row r="36" ht="15" customHeight="1" s="37">
      <c r="A36" s="42" t="n">
        <v>95</v>
      </c>
      <c r="B36" s="69">
        <f>IF(A36&lt;Settings!$B$10,Settings!$B$11,IF(A36&lt;Settings!$B$12,Settings!$B$13,IF(A36&lt;Settings!$B$14,Settings!$B$15,1)))</f>
        <v/>
      </c>
      <c r="C36" s="58">
        <f>H35*B35*5/60</f>
        <v/>
      </c>
      <c r="D36" s="58">
        <f>G35+C36</f>
        <v/>
      </c>
      <c r="E36" s="42">
        <f>E35+F35</f>
        <v/>
      </c>
      <c r="F36" s="42">
        <f>IF(E36&lt;=6,IF(D36&gt;=INDEX($C$8:$C$13,E36),1,0),0)</f>
        <v/>
      </c>
      <c r="G36" s="58">
        <f>D36-F36*IF(E36&lt;=6,INDEX($C$8:$C$13,E36),0)</f>
        <v/>
      </c>
      <c r="H36" s="58">
        <f>H35+F36*IF(E36&lt;=6,INDEX($D$8:$D$13,E36),0)</f>
        <v/>
      </c>
      <c r="I36" s="42">
        <f>IF(F36=1,"Bought: "&amp;INDEX($B$8:$B$13,E36),"")</f>
        <v/>
      </c>
    </row>
    <row r="37" ht="15" customHeight="1" s="37">
      <c r="A37" s="42" t="n">
        <v>100</v>
      </c>
      <c r="B37" s="69">
        <f>IF(A37&lt;Settings!$B$10,Settings!$B$11,IF(A37&lt;Settings!$B$12,Settings!$B$13,IF(A37&lt;Settings!$B$14,Settings!$B$15,1)))</f>
        <v/>
      </c>
      <c r="C37" s="58">
        <f>H36*B36*5/60</f>
        <v/>
      </c>
      <c r="D37" s="58">
        <f>G36+C37</f>
        <v/>
      </c>
      <c r="E37" s="42">
        <f>E36+F36</f>
        <v/>
      </c>
      <c r="F37" s="42">
        <f>IF(E37&lt;=6,IF(D37&gt;=INDEX($C$8:$C$13,E37),1,0),0)</f>
        <v/>
      </c>
      <c r="G37" s="58">
        <f>D37-F37*IF(E37&lt;=6,INDEX($C$8:$C$13,E37),0)</f>
        <v/>
      </c>
      <c r="H37" s="58">
        <f>H36+F37*IF(E37&lt;=6,INDEX($D$8:$D$13,E37),0)</f>
        <v/>
      </c>
      <c r="I37" s="42">
        <f>IF(F37=1,"Bought: "&amp;INDEX($B$8:$B$13,E37),"")</f>
        <v/>
      </c>
    </row>
    <row r="38" ht="15" customHeight="1" s="37">
      <c r="A38" s="42" t="n">
        <v>105</v>
      </c>
      <c r="B38" s="69">
        <f>IF(A38&lt;Settings!$B$10,Settings!$B$11,IF(A38&lt;Settings!$B$12,Settings!$B$13,IF(A38&lt;Settings!$B$14,Settings!$B$15,1)))</f>
        <v/>
      </c>
      <c r="C38" s="58">
        <f>H37*B37*5/60</f>
        <v/>
      </c>
      <c r="D38" s="58">
        <f>G37+C38</f>
        <v/>
      </c>
      <c r="E38" s="42">
        <f>E37+F37</f>
        <v/>
      </c>
      <c r="F38" s="42">
        <f>IF(E38&lt;=6,IF(D38&gt;=INDEX($C$8:$C$13,E38),1,0),0)</f>
        <v/>
      </c>
      <c r="G38" s="58">
        <f>D38-F38*IF(E38&lt;=6,INDEX($C$8:$C$13,E38),0)</f>
        <v/>
      </c>
      <c r="H38" s="58">
        <f>H37+F38*IF(E38&lt;=6,INDEX($D$8:$D$13,E38),0)</f>
        <v/>
      </c>
      <c r="I38" s="42">
        <f>IF(F38=1,"Bought: "&amp;INDEX($B$8:$B$13,E38),"")</f>
        <v/>
      </c>
    </row>
    <row r="39" ht="15" customHeight="1" s="37">
      <c r="A39" s="42" t="n">
        <v>110</v>
      </c>
      <c r="B39" s="69">
        <f>IF(A39&lt;Settings!$B$10,Settings!$B$11,IF(A39&lt;Settings!$B$12,Settings!$B$13,IF(A39&lt;Settings!$B$14,Settings!$B$15,1)))</f>
        <v/>
      </c>
      <c r="C39" s="58">
        <f>H38*B38*5/60</f>
        <v/>
      </c>
      <c r="D39" s="58">
        <f>G38+C39</f>
        <v/>
      </c>
      <c r="E39" s="42">
        <f>E38+F38</f>
        <v/>
      </c>
      <c r="F39" s="42">
        <f>IF(E39&lt;=6,IF(D39&gt;=INDEX($C$8:$C$13,E39),1,0),0)</f>
        <v/>
      </c>
      <c r="G39" s="58">
        <f>D39-F39*IF(E39&lt;=6,INDEX($C$8:$C$13,E39),0)</f>
        <v/>
      </c>
      <c r="H39" s="58">
        <f>H38+F39*IF(E39&lt;=6,INDEX($D$8:$D$13,E39),0)</f>
        <v/>
      </c>
      <c r="I39" s="42">
        <f>IF(F39=1,"Bought: "&amp;INDEX($B$8:$B$13,E39),"")</f>
        <v/>
      </c>
    </row>
    <row r="40" ht="15" customHeight="1" s="37">
      <c r="A40" s="42" t="n">
        <v>115</v>
      </c>
      <c r="B40" s="69">
        <f>IF(A40&lt;Settings!$B$10,Settings!$B$11,IF(A40&lt;Settings!$B$12,Settings!$B$13,IF(A40&lt;Settings!$B$14,Settings!$B$15,1)))</f>
        <v/>
      </c>
      <c r="C40" s="58">
        <f>H39*B39*5/60</f>
        <v/>
      </c>
      <c r="D40" s="58">
        <f>G39+C40</f>
        <v/>
      </c>
      <c r="E40" s="42">
        <f>E39+F39</f>
        <v/>
      </c>
      <c r="F40" s="42">
        <f>IF(E40&lt;=6,IF(D40&gt;=INDEX($C$8:$C$13,E40),1,0),0)</f>
        <v/>
      </c>
      <c r="G40" s="58">
        <f>D40-F40*IF(E40&lt;=6,INDEX($C$8:$C$13,E40),0)</f>
        <v/>
      </c>
      <c r="H40" s="58">
        <f>H39+F40*IF(E40&lt;=6,INDEX($D$8:$D$13,E40),0)</f>
        <v/>
      </c>
      <c r="I40" s="42">
        <f>IF(F40=1,"Bought: "&amp;INDEX($B$8:$B$13,E40),"")</f>
        <v/>
      </c>
    </row>
    <row r="41" ht="15" customHeight="1" s="37">
      <c r="A41" s="42" t="n">
        <v>120</v>
      </c>
      <c r="B41" s="69">
        <f>IF(A41&lt;Settings!$B$10,Settings!$B$11,IF(A41&lt;Settings!$B$12,Settings!$B$13,IF(A41&lt;Settings!$B$14,Settings!$B$15,1)))</f>
        <v/>
      </c>
      <c r="C41" s="58">
        <f>H40*B40*5/60</f>
        <v/>
      </c>
      <c r="D41" s="58">
        <f>G40+C41</f>
        <v/>
      </c>
      <c r="E41" s="42">
        <f>E40+F40</f>
        <v/>
      </c>
      <c r="F41" s="42">
        <f>IF(E41&lt;=6,IF(D41&gt;=INDEX($C$8:$C$13,E41),1,0),0)</f>
        <v/>
      </c>
      <c r="G41" s="58">
        <f>D41-F41*IF(E41&lt;=6,INDEX($C$8:$C$13,E41),0)</f>
        <v/>
      </c>
      <c r="H41" s="58">
        <f>H40+F41*IF(E41&lt;=6,INDEX($D$8:$D$13,E41),0)</f>
        <v/>
      </c>
      <c r="I41" s="42">
        <f>IF(F41=1,"Bought: "&amp;INDEX($B$8:$B$13,E41),"")</f>
        <v/>
      </c>
    </row>
    <row r="42" ht="15" customHeight="1" s="37">
      <c r="A42" s="42" t="n">
        <v>125</v>
      </c>
      <c r="B42" s="69">
        <f>IF(A42&lt;Settings!$B$10,Settings!$B$11,IF(A42&lt;Settings!$B$12,Settings!$B$13,IF(A42&lt;Settings!$B$14,Settings!$B$15,1)))</f>
        <v/>
      </c>
      <c r="C42" s="58">
        <f>H41*B41*5/60</f>
        <v/>
      </c>
      <c r="D42" s="58">
        <f>G41+C42</f>
        <v/>
      </c>
      <c r="E42" s="42">
        <f>E41+F41</f>
        <v/>
      </c>
      <c r="F42" s="42">
        <f>IF(E42&lt;=6,IF(D42&gt;=INDEX($C$8:$C$13,E42),1,0),0)</f>
        <v/>
      </c>
      <c r="G42" s="58">
        <f>D42-F42*IF(E42&lt;=6,INDEX($C$8:$C$13,E42),0)</f>
        <v/>
      </c>
      <c r="H42" s="58">
        <f>H41+F42*IF(E42&lt;=6,INDEX($D$8:$D$13,E42),0)</f>
        <v/>
      </c>
      <c r="I42" s="42">
        <f>IF(F42=1,"Bought: "&amp;INDEX($B$8:$B$13,E42),"")</f>
        <v/>
      </c>
    </row>
    <row r="43" ht="15" customHeight="1" s="37">
      <c r="A43" s="42" t="n">
        <v>130</v>
      </c>
      <c r="B43" s="69">
        <f>IF(A43&lt;Settings!$B$10,Settings!$B$11,IF(A43&lt;Settings!$B$12,Settings!$B$13,IF(A43&lt;Settings!$B$14,Settings!$B$15,1)))</f>
        <v/>
      </c>
      <c r="C43" s="58">
        <f>H42*B42*5/60</f>
        <v/>
      </c>
      <c r="D43" s="58">
        <f>G42+C43</f>
        <v/>
      </c>
      <c r="E43" s="42">
        <f>E42+F42</f>
        <v/>
      </c>
      <c r="F43" s="42">
        <f>IF(E43&lt;=6,IF(D43&gt;=INDEX($C$8:$C$13,E43),1,0),0)</f>
        <v/>
      </c>
      <c r="G43" s="58">
        <f>D43-F43*IF(E43&lt;=6,INDEX($C$8:$C$13,E43),0)</f>
        <v/>
      </c>
      <c r="H43" s="58">
        <f>H42+F43*IF(E43&lt;=6,INDEX($D$8:$D$13,E43),0)</f>
        <v/>
      </c>
      <c r="I43" s="42">
        <f>IF(F43=1,"Bought: "&amp;INDEX($B$8:$B$13,E43),"")</f>
        <v/>
      </c>
    </row>
    <row r="44" ht="15" customHeight="1" s="37">
      <c r="A44" s="42" t="n">
        <v>135</v>
      </c>
      <c r="B44" s="69">
        <f>IF(A44&lt;Settings!$B$10,Settings!$B$11,IF(A44&lt;Settings!$B$12,Settings!$B$13,IF(A44&lt;Settings!$B$14,Settings!$B$15,1)))</f>
        <v/>
      </c>
      <c r="C44" s="58">
        <f>H43*B43*5/60</f>
        <v/>
      </c>
      <c r="D44" s="58">
        <f>G43+C44</f>
        <v/>
      </c>
      <c r="E44" s="42">
        <f>E43+F43</f>
        <v/>
      </c>
      <c r="F44" s="42">
        <f>IF(E44&lt;=6,IF(D44&gt;=INDEX($C$8:$C$13,E44),1,0),0)</f>
        <v/>
      </c>
      <c r="G44" s="58">
        <f>D44-F44*IF(E44&lt;=6,INDEX($C$8:$C$13,E44),0)</f>
        <v/>
      </c>
      <c r="H44" s="58">
        <f>H43+F44*IF(E44&lt;=6,INDEX($D$8:$D$13,E44),0)</f>
        <v/>
      </c>
      <c r="I44" s="42">
        <f>IF(F44=1,"Bought: "&amp;INDEX($B$8:$B$13,E44),"")</f>
        <v/>
      </c>
    </row>
    <row r="45" ht="15" customHeight="1" s="37">
      <c r="A45" s="42" t="n">
        <v>140</v>
      </c>
      <c r="B45" s="69">
        <f>IF(A45&lt;Settings!$B$10,Settings!$B$11,IF(A45&lt;Settings!$B$12,Settings!$B$13,IF(A45&lt;Settings!$B$14,Settings!$B$15,1)))</f>
        <v/>
      </c>
      <c r="C45" s="58">
        <f>H44*B44*5/60</f>
        <v/>
      </c>
      <c r="D45" s="58">
        <f>G44+C45</f>
        <v/>
      </c>
      <c r="E45" s="42">
        <f>E44+F44</f>
        <v/>
      </c>
      <c r="F45" s="42">
        <f>IF(E45&lt;=6,IF(D45&gt;=INDEX($C$8:$C$13,E45),1,0),0)</f>
        <v/>
      </c>
      <c r="G45" s="58">
        <f>D45-F45*IF(E45&lt;=6,INDEX($C$8:$C$13,E45),0)</f>
        <v/>
      </c>
      <c r="H45" s="58">
        <f>H44+F45*IF(E45&lt;=6,INDEX($D$8:$D$13,E45),0)</f>
        <v/>
      </c>
      <c r="I45" s="42">
        <f>IF(F45=1,"Bought: "&amp;INDEX($B$8:$B$13,E45),"")</f>
        <v/>
      </c>
    </row>
    <row r="46" ht="15" customHeight="1" s="37">
      <c r="A46" s="42" t="n">
        <v>145</v>
      </c>
      <c r="B46" s="69">
        <f>IF(A46&lt;Settings!$B$10,Settings!$B$11,IF(A46&lt;Settings!$B$12,Settings!$B$13,IF(A46&lt;Settings!$B$14,Settings!$B$15,1)))</f>
        <v/>
      </c>
      <c r="C46" s="58">
        <f>H45*B45*5/60</f>
        <v/>
      </c>
      <c r="D46" s="58">
        <f>G45+C46</f>
        <v/>
      </c>
      <c r="E46" s="42">
        <f>E45+F45</f>
        <v/>
      </c>
      <c r="F46" s="42">
        <f>IF(E46&lt;=6,IF(D46&gt;=INDEX($C$8:$C$13,E46),1,0),0)</f>
        <v/>
      </c>
      <c r="G46" s="58">
        <f>D46-F46*IF(E46&lt;=6,INDEX($C$8:$C$13,E46),0)</f>
        <v/>
      </c>
      <c r="H46" s="58">
        <f>H45+F46*IF(E46&lt;=6,INDEX($D$8:$D$13,E46),0)</f>
        <v/>
      </c>
      <c r="I46" s="42">
        <f>IF(F46=1,"Bought: "&amp;INDEX($B$8:$B$13,E46),"")</f>
        <v/>
      </c>
    </row>
    <row r="47" ht="15" customHeight="1" s="37">
      <c r="A47" s="42" t="n">
        <v>150</v>
      </c>
      <c r="B47" s="69">
        <f>IF(A47&lt;Settings!$B$10,Settings!$B$11,IF(A47&lt;Settings!$B$12,Settings!$B$13,IF(A47&lt;Settings!$B$14,Settings!$B$15,1)))</f>
        <v/>
      </c>
      <c r="C47" s="58">
        <f>H46*B46*5/60</f>
        <v/>
      </c>
      <c r="D47" s="58">
        <f>G46+C47</f>
        <v/>
      </c>
      <c r="E47" s="42">
        <f>E46+F46</f>
        <v/>
      </c>
      <c r="F47" s="42">
        <f>IF(E47&lt;=6,IF(D47&gt;=INDEX($C$8:$C$13,E47),1,0),0)</f>
        <v/>
      </c>
      <c r="G47" s="58">
        <f>D47-F47*IF(E47&lt;=6,INDEX($C$8:$C$13,E47),0)</f>
        <v/>
      </c>
      <c r="H47" s="58">
        <f>H46+F47*IF(E47&lt;=6,INDEX($D$8:$D$13,E47),0)</f>
        <v/>
      </c>
      <c r="I47" s="42">
        <f>IF(F47=1,"Bought: "&amp;INDEX($B$8:$B$13,E47),"")</f>
        <v/>
      </c>
    </row>
    <row r="48" ht="15" customHeight="1" s="37">
      <c r="A48" s="42" t="n">
        <v>155</v>
      </c>
      <c r="B48" s="69">
        <f>IF(A48&lt;Settings!$B$10,Settings!$B$11,IF(A48&lt;Settings!$B$12,Settings!$B$13,IF(A48&lt;Settings!$B$14,Settings!$B$15,1)))</f>
        <v/>
      </c>
      <c r="C48" s="58">
        <f>H47*B47*5/60</f>
        <v/>
      </c>
      <c r="D48" s="58">
        <f>G47+C48</f>
        <v/>
      </c>
      <c r="E48" s="42">
        <f>E47+F47</f>
        <v/>
      </c>
      <c r="F48" s="42">
        <f>IF(E48&lt;=6,IF(D48&gt;=INDEX($C$8:$C$13,E48),1,0),0)</f>
        <v/>
      </c>
      <c r="G48" s="58">
        <f>D48-F48*IF(E48&lt;=6,INDEX($C$8:$C$13,E48),0)</f>
        <v/>
      </c>
      <c r="H48" s="58">
        <f>H47+F48*IF(E48&lt;=6,INDEX($D$8:$D$13,E48),0)</f>
        <v/>
      </c>
      <c r="I48" s="42">
        <f>IF(F48=1,"Bought: "&amp;INDEX($B$8:$B$13,E48),"")</f>
        <v/>
      </c>
    </row>
    <row r="49" ht="15" customHeight="1" s="37">
      <c r="A49" s="42" t="n">
        <v>160</v>
      </c>
      <c r="B49" s="69">
        <f>IF(A49&lt;Settings!$B$10,Settings!$B$11,IF(A49&lt;Settings!$B$12,Settings!$B$13,IF(A49&lt;Settings!$B$14,Settings!$B$15,1)))</f>
        <v/>
      </c>
      <c r="C49" s="58">
        <f>H48*B48*5/60</f>
        <v/>
      </c>
      <c r="D49" s="58">
        <f>G48+C49</f>
        <v/>
      </c>
      <c r="E49" s="42">
        <f>E48+F48</f>
        <v/>
      </c>
      <c r="F49" s="42">
        <f>IF(E49&lt;=6,IF(D49&gt;=INDEX($C$8:$C$13,E49),1,0),0)</f>
        <v/>
      </c>
      <c r="G49" s="58">
        <f>D49-F49*IF(E49&lt;=6,INDEX($C$8:$C$13,E49),0)</f>
        <v/>
      </c>
      <c r="H49" s="58">
        <f>H48+F49*IF(E49&lt;=6,INDEX($D$8:$D$13,E49),0)</f>
        <v/>
      </c>
      <c r="I49" s="42">
        <f>IF(F49=1,"Bought: "&amp;INDEX($B$8:$B$13,E49),"")</f>
        <v/>
      </c>
    </row>
    <row r="50" ht="15" customHeight="1" s="37">
      <c r="A50" s="42" t="n">
        <v>165</v>
      </c>
      <c r="B50" s="69">
        <f>IF(A50&lt;Settings!$B$10,Settings!$B$11,IF(A50&lt;Settings!$B$12,Settings!$B$13,IF(A50&lt;Settings!$B$14,Settings!$B$15,1)))</f>
        <v/>
      </c>
      <c r="C50" s="58">
        <f>H49*B49*5/60</f>
        <v/>
      </c>
      <c r="D50" s="58">
        <f>G49+C50</f>
        <v/>
      </c>
      <c r="E50" s="42">
        <f>E49+F49</f>
        <v/>
      </c>
      <c r="F50" s="42">
        <f>IF(E50&lt;=6,IF(D50&gt;=INDEX($C$8:$C$13,E50),1,0),0)</f>
        <v/>
      </c>
      <c r="G50" s="58">
        <f>D50-F50*IF(E50&lt;=6,INDEX($C$8:$C$13,E50),0)</f>
        <v/>
      </c>
      <c r="H50" s="58">
        <f>H49+F50*IF(E50&lt;=6,INDEX($D$8:$D$13,E50),0)</f>
        <v/>
      </c>
      <c r="I50" s="42">
        <f>IF(F50=1,"Bought: "&amp;INDEX($B$8:$B$13,E50),"")</f>
        <v/>
      </c>
    </row>
    <row r="51" ht="15" customHeight="1" s="37">
      <c r="A51" s="42" t="n">
        <v>170</v>
      </c>
      <c r="B51" s="69">
        <f>IF(A51&lt;Settings!$B$10,Settings!$B$11,IF(A51&lt;Settings!$B$12,Settings!$B$13,IF(A51&lt;Settings!$B$14,Settings!$B$15,1)))</f>
        <v/>
      </c>
      <c r="C51" s="58">
        <f>H50*B50*5/60</f>
        <v/>
      </c>
      <c r="D51" s="58">
        <f>G50+C51</f>
        <v/>
      </c>
      <c r="E51" s="42">
        <f>E50+F50</f>
        <v/>
      </c>
      <c r="F51" s="42">
        <f>IF(E51&lt;=6,IF(D51&gt;=INDEX($C$8:$C$13,E51),1,0),0)</f>
        <v/>
      </c>
      <c r="G51" s="58">
        <f>D51-F51*IF(E51&lt;=6,INDEX($C$8:$C$13,E51),0)</f>
        <v/>
      </c>
      <c r="H51" s="58">
        <f>H50+F51*IF(E51&lt;=6,INDEX($D$8:$D$13,E51),0)</f>
        <v/>
      </c>
      <c r="I51" s="42">
        <f>IF(F51=1,"Bought: "&amp;INDEX($B$8:$B$13,E51),"")</f>
        <v/>
      </c>
    </row>
    <row r="52" ht="15" customHeight="1" s="37">
      <c r="A52" s="42" t="n">
        <v>175</v>
      </c>
      <c r="B52" s="69">
        <f>IF(A52&lt;Settings!$B$10,Settings!$B$11,IF(A52&lt;Settings!$B$12,Settings!$B$13,IF(A52&lt;Settings!$B$14,Settings!$B$15,1)))</f>
        <v/>
      </c>
      <c r="C52" s="58">
        <f>H51*B51*5/60</f>
        <v/>
      </c>
      <c r="D52" s="58">
        <f>G51+C52</f>
        <v/>
      </c>
      <c r="E52" s="42">
        <f>E51+F51</f>
        <v/>
      </c>
      <c r="F52" s="42">
        <f>IF(E52&lt;=6,IF(D52&gt;=INDEX($C$8:$C$13,E52),1,0),0)</f>
        <v/>
      </c>
      <c r="G52" s="58">
        <f>D52-F52*IF(E52&lt;=6,INDEX($C$8:$C$13,E52),0)</f>
        <v/>
      </c>
      <c r="H52" s="58">
        <f>H51+F52*IF(E52&lt;=6,INDEX($D$8:$D$13,E52),0)</f>
        <v/>
      </c>
      <c r="I52" s="42">
        <f>IF(F52=1,"Bought: "&amp;INDEX($B$8:$B$13,E52),"")</f>
        <v/>
      </c>
    </row>
    <row r="53" ht="15" customHeight="1" s="37">
      <c r="A53" s="42" t="n">
        <v>180</v>
      </c>
      <c r="B53" s="69">
        <f>IF(A53&lt;Settings!$B$10,Settings!$B$11,IF(A53&lt;Settings!$B$12,Settings!$B$13,IF(A53&lt;Settings!$B$14,Settings!$B$15,1)))</f>
        <v/>
      </c>
      <c r="C53" s="58">
        <f>H52*B52*5/60</f>
        <v/>
      </c>
      <c r="D53" s="58">
        <f>G52+C53</f>
        <v/>
      </c>
      <c r="E53" s="42">
        <f>E52+F52</f>
        <v/>
      </c>
      <c r="F53" s="42">
        <f>IF(E53&lt;=6,IF(D53&gt;=INDEX($C$8:$C$13,E53),1,0),0)</f>
        <v/>
      </c>
      <c r="G53" s="58">
        <f>D53-F53*IF(E53&lt;=6,INDEX($C$8:$C$13,E53),0)</f>
        <v/>
      </c>
      <c r="H53" s="58">
        <f>H52+F53*IF(E53&lt;=6,INDEX($D$8:$D$13,E53),0)</f>
        <v/>
      </c>
      <c r="I53" s="42">
        <f>IF(F53=1,"Bought: "&amp;INDEX($B$8:$B$13,E53),"")</f>
        <v/>
      </c>
    </row>
    <row r="54" ht="15" customHeight="1" s="37">
      <c r="A54" s="42" t="n">
        <v>185</v>
      </c>
      <c r="B54" s="69">
        <f>IF(A54&lt;Settings!$B$10,Settings!$B$11,IF(A54&lt;Settings!$B$12,Settings!$B$13,IF(A54&lt;Settings!$B$14,Settings!$B$15,1)))</f>
        <v/>
      </c>
      <c r="C54" s="58">
        <f>H53*B53*5/60</f>
        <v/>
      </c>
      <c r="D54" s="58">
        <f>G53+C54</f>
        <v/>
      </c>
      <c r="E54" s="42">
        <f>E53+F53</f>
        <v/>
      </c>
      <c r="F54" s="42">
        <f>IF(E54&lt;=6,IF(D54&gt;=INDEX($C$8:$C$13,E54),1,0),0)</f>
        <v/>
      </c>
      <c r="G54" s="58">
        <f>D54-F54*IF(E54&lt;=6,INDEX($C$8:$C$13,E54),0)</f>
        <v/>
      </c>
      <c r="H54" s="58">
        <f>H53+F54*IF(E54&lt;=6,INDEX($D$8:$D$13,E54),0)</f>
        <v/>
      </c>
      <c r="I54" s="42">
        <f>IF(F54=1,"Bought: "&amp;INDEX($B$8:$B$13,E54),"")</f>
        <v/>
      </c>
    </row>
    <row r="55" ht="15" customHeight="1" s="37">
      <c r="A55" s="42" t="n">
        <v>190</v>
      </c>
      <c r="B55" s="69">
        <f>IF(A55&lt;Settings!$B$10,Settings!$B$11,IF(A55&lt;Settings!$B$12,Settings!$B$13,IF(A55&lt;Settings!$B$14,Settings!$B$15,1)))</f>
        <v/>
      </c>
      <c r="C55" s="58">
        <f>H54*B54*5/60</f>
        <v/>
      </c>
      <c r="D55" s="58">
        <f>G54+C55</f>
        <v/>
      </c>
      <c r="E55" s="42">
        <f>E54+F54</f>
        <v/>
      </c>
      <c r="F55" s="42">
        <f>IF(E55&lt;=6,IF(D55&gt;=INDEX($C$8:$C$13,E55),1,0),0)</f>
        <v/>
      </c>
      <c r="G55" s="58">
        <f>D55-F55*IF(E55&lt;=6,INDEX($C$8:$C$13,E55),0)</f>
        <v/>
      </c>
      <c r="H55" s="58">
        <f>H54+F55*IF(E55&lt;=6,INDEX($D$8:$D$13,E55),0)</f>
        <v/>
      </c>
      <c r="I55" s="42">
        <f>IF(F55=1,"Bought: "&amp;INDEX($B$8:$B$13,E55),"")</f>
        <v/>
      </c>
    </row>
    <row r="56" ht="15" customHeight="1" s="37">
      <c r="A56" s="42" t="n">
        <v>195</v>
      </c>
      <c r="B56" s="69">
        <f>IF(A56&lt;Settings!$B$10,Settings!$B$11,IF(A56&lt;Settings!$B$12,Settings!$B$13,IF(A56&lt;Settings!$B$14,Settings!$B$15,1)))</f>
        <v/>
      </c>
      <c r="C56" s="58">
        <f>H55*B55*5/60</f>
        <v/>
      </c>
      <c r="D56" s="58">
        <f>G55+C56</f>
        <v/>
      </c>
      <c r="E56" s="42">
        <f>E55+F55</f>
        <v/>
      </c>
      <c r="F56" s="42">
        <f>IF(E56&lt;=6,IF(D56&gt;=INDEX($C$8:$C$13,E56),1,0),0)</f>
        <v/>
      </c>
      <c r="G56" s="58">
        <f>D56-F56*IF(E56&lt;=6,INDEX($C$8:$C$13,E56),0)</f>
        <v/>
      </c>
      <c r="H56" s="58">
        <f>H55+F56*IF(E56&lt;=6,INDEX($D$8:$D$13,E56),0)</f>
        <v/>
      </c>
      <c r="I56" s="42">
        <f>IF(F56=1,"Bought: "&amp;INDEX($B$8:$B$13,E56),"")</f>
        <v/>
      </c>
    </row>
    <row r="57" ht="15" customHeight="1" s="37">
      <c r="A57" s="42" t="n">
        <v>200</v>
      </c>
      <c r="B57" s="69">
        <f>IF(A57&lt;Settings!$B$10,Settings!$B$11,IF(A57&lt;Settings!$B$12,Settings!$B$13,IF(A57&lt;Settings!$B$14,Settings!$B$15,1)))</f>
        <v/>
      </c>
      <c r="C57" s="58">
        <f>H56*B56*5/60</f>
        <v/>
      </c>
      <c r="D57" s="58">
        <f>G56+C57</f>
        <v/>
      </c>
      <c r="E57" s="42">
        <f>E56+F56</f>
        <v/>
      </c>
      <c r="F57" s="42">
        <f>IF(E57&lt;=6,IF(D57&gt;=INDEX($C$8:$C$13,E57),1,0),0)</f>
        <v/>
      </c>
      <c r="G57" s="58">
        <f>D57-F57*IF(E57&lt;=6,INDEX($C$8:$C$13,E57),0)</f>
        <v/>
      </c>
      <c r="H57" s="58">
        <f>H56+F57*IF(E57&lt;=6,INDEX($D$8:$D$13,E57),0)</f>
        <v/>
      </c>
      <c r="I57" s="42">
        <f>IF(F57=1,"Bought: "&amp;INDEX($B$8:$B$13,E57),"")</f>
        <v/>
      </c>
    </row>
    <row r="58" ht="15" customHeight="1" s="37">
      <c r="A58" s="42" t="n">
        <v>205</v>
      </c>
      <c r="B58" s="69">
        <f>IF(A58&lt;Settings!$B$10,Settings!$B$11,IF(A58&lt;Settings!$B$12,Settings!$B$13,IF(A58&lt;Settings!$B$14,Settings!$B$15,1)))</f>
        <v/>
      </c>
      <c r="C58" s="58">
        <f>H57*B57*5/60</f>
        <v/>
      </c>
      <c r="D58" s="58">
        <f>G57+C58</f>
        <v/>
      </c>
      <c r="E58" s="42">
        <f>E57+F57</f>
        <v/>
      </c>
      <c r="F58" s="42">
        <f>IF(E58&lt;=6,IF(D58&gt;=INDEX($C$8:$C$13,E58),1,0),0)</f>
        <v/>
      </c>
      <c r="G58" s="58">
        <f>D58-F58*IF(E58&lt;=6,INDEX($C$8:$C$13,E58),0)</f>
        <v/>
      </c>
      <c r="H58" s="58">
        <f>H57+F58*IF(E58&lt;=6,INDEX($D$8:$D$13,E58),0)</f>
        <v/>
      </c>
      <c r="I58" s="42">
        <f>IF(F58=1,"Bought: "&amp;INDEX($B$8:$B$13,E58),"")</f>
        <v/>
      </c>
    </row>
    <row r="59" ht="15" customHeight="1" s="37">
      <c r="A59" s="42" t="n">
        <v>210</v>
      </c>
      <c r="B59" s="69">
        <f>IF(A59&lt;Settings!$B$10,Settings!$B$11,IF(A59&lt;Settings!$B$12,Settings!$B$13,IF(A59&lt;Settings!$B$14,Settings!$B$15,1)))</f>
        <v/>
      </c>
      <c r="C59" s="58">
        <f>H58*B58*5/60</f>
        <v/>
      </c>
      <c r="D59" s="58">
        <f>G58+C59</f>
        <v/>
      </c>
      <c r="E59" s="42">
        <f>E58+F58</f>
        <v/>
      </c>
      <c r="F59" s="42">
        <f>IF(E59&lt;=6,IF(D59&gt;=INDEX($C$8:$C$13,E59),1,0),0)</f>
        <v/>
      </c>
      <c r="G59" s="58">
        <f>D59-F59*IF(E59&lt;=6,INDEX($C$8:$C$13,E59),0)</f>
        <v/>
      </c>
      <c r="H59" s="58">
        <f>H58+F59*IF(E59&lt;=6,INDEX($D$8:$D$13,E59),0)</f>
        <v/>
      </c>
      <c r="I59" s="42">
        <f>IF(F59=1,"Bought: "&amp;INDEX($B$8:$B$13,E59),"")</f>
        <v/>
      </c>
    </row>
    <row r="60" ht="15" customHeight="1" s="37">
      <c r="A60" s="42" t="n">
        <v>215</v>
      </c>
      <c r="B60" s="69">
        <f>IF(A60&lt;Settings!$B$10,Settings!$B$11,IF(A60&lt;Settings!$B$12,Settings!$B$13,IF(A60&lt;Settings!$B$14,Settings!$B$15,1)))</f>
        <v/>
      </c>
      <c r="C60" s="58">
        <f>H59*B59*5/60</f>
        <v/>
      </c>
      <c r="D60" s="58">
        <f>G59+C60</f>
        <v/>
      </c>
      <c r="E60" s="42">
        <f>E59+F59</f>
        <v/>
      </c>
      <c r="F60" s="42">
        <f>IF(E60&lt;=6,IF(D60&gt;=INDEX($C$8:$C$13,E60),1,0),0)</f>
        <v/>
      </c>
      <c r="G60" s="58">
        <f>D60-F60*IF(E60&lt;=6,INDEX($C$8:$C$13,E60),0)</f>
        <v/>
      </c>
      <c r="H60" s="58">
        <f>H59+F60*IF(E60&lt;=6,INDEX($D$8:$D$13,E60),0)</f>
        <v/>
      </c>
      <c r="I60" s="42">
        <f>IF(F60=1,"Bought: "&amp;INDEX($B$8:$B$13,E60),"")</f>
        <v/>
      </c>
    </row>
    <row r="61" ht="15" customHeight="1" s="37">
      <c r="A61" s="42" t="n">
        <v>220</v>
      </c>
      <c r="B61" s="69">
        <f>IF(A61&lt;Settings!$B$10,Settings!$B$11,IF(A61&lt;Settings!$B$12,Settings!$B$13,IF(A61&lt;Settings!$B$14,Settings!$B$15,1)))</f>
        <v/>
      </c>
      <c r="C61" s="58">
        <f>H60*B60*5/60</f>
        <v/>
      </c>
      <c r="D61" s="58">
        <f>G60+C61</f>
        <v/>
      </c>
      <c r="E61" s="42">
        <f>E60+F60</f>
        <v/>
      </c>
      <c r="F61" s="42">
        <f>IF(E61&lt;=6,IF(D61&gt;=INDEX($C$8:$C$13,E61),1,0),0)</f>
        <v/>
      </c>
      <c r="G61" s="58">
        <f>D61-F61*IF(E61&lt;=6,INDEX($C$8:$C$13,E61),0)</f>
        <v/>
      </c>
      <c r="H61" s="58">
        <f>H60+F61*IF(E61&lt;=6,INDEX($D$8:$D$13,E61),0)</f>
        <v/>
      </c>
      <c r="I61" s="42">
        <f>IF(F61=1,"Bought: "&amp;INDEX($B$8:$B$13,E61),"")</f>
        <v/>
      </c>
    </row>
    <row r="62" ht="15" customHeight="1" s="37">
      <c r="A62" s="42" t="n">
        <v>225</v>
      </c>
      <c r="B62" s="69">
        <f>IF(A62&lt;Settings!$B$10,Settings!$B$11,IF(A62&lt;Settings!$B$12,Settings!$B$13,IF(A62&lt;Settings!$B$14,Settings!$B$15,1)))</f>
        <v/>
      </c>
      <c r="C62" s="58">
        <f>H61*B61*5/60</f>
        <v/>
      </c>
      <c r="D62" s="58">
        <f>G61+C62</f>
        <v/>
      </c>
      <c r="E62" s="42">
        <f>E61+F61</f>
        <v/>
      </c>
      <c r="F62" s="42">
        <f>IF(E62&lt;=6,IF(D62&gt;=INDEX($C$8:$C$13,E62),1,0),0)</f>
        <v/>
      </c>
      <c r="G62" s="58">
        <f>D62-F62*IF(E62&lt;=6,INDEX($C$8:$C$13,E62),0)</f>
        <v/>
      </c>
      <c r="H62" s="58">
        <f>H61+F62*IF(E62&lt;=6,INDEX($D$8:$D$13,E62),0)</f>
        <v/>
      </c>
      <c r="I62" s="42">
        <f>IF(F62=1,"Bought: "&amp;INDEX($B$8:$B$13,E62),"")</f>
        <v/>
      </c>
    </row>
    <row r="63" ht="15" customHeight="1" s="37">
      <c r="A63" s="42" t="n">
        <v>230</v>
      </c>
      <c r="B63" s="69">
        <f>IF(A63&lt;Settings!$B$10,Settings!$B$11,IF(A63&lt;Settings!$B$12,Settings!$B$13,IF(A63&lt;Settings!$B$14,Settings!$B$15,1)))</f>
        <v/>
      </c>
      <c r="C63" s="58">
        <f>H62*B62*5/60</f>
        <v/>
      </c>
      <c r="D63" s="58">
        <f>G62+C63</f>
        <v/>
      </c>
      <c r="E63" s="42">
        <f>E62+F62</f>
        <v/>
      </c>
      <c r="F63" s="42">
        <f>IF(E63&lt;=6,IF(D63&gt;=INDEX($C$8:$C$13,E63),1,0),0)</f>
        <v/>
      </c>
      <c r="G63" s="58">
        <f>D63-F63*IF(E63&lt;=6,INDEX($C$8:$C$13,E63),0)</f>
        <v/>
      </c>
      <c r="H63" s="58">
        <f>H62+F63*IF(E63&lt;=6,INDEX($D$8:$D$13,E63),0)</f>
        <v/>
      </c>
      <c r="I63" s="42">
        <f>IF(F63=1,"Bought: "&amp;INDEX($B$8:$B$13,E63),"")</f>
        <v/>
      </c>
    </row>
    <row r="64" ht="15" customHeight="1" s="37">
      <c r="A64" s="42" t="n">
        <v>235</v>
      </c>
      <c r="B64" s="69">
        <f>IF(A64&lt;Settings!$B$10,Settings!$B$11,IF(A64&lt;Settings!$B$12,Settings!$B$13,IF(A64&lt;Settings!$B$14,Settings!$B$15,1)))</f>
        <v/>
      </c>
      <c r="C64" s="58">
        <f>H63*B63*5/60</f>
        <v/>
      </c>
      <c r="D64" s="58">
        <f>G63+C64</f>
        <v/>
      </c>
      <c r="E64" s="42">
        <f>E63+F63</f>
        <v/>
      </c>
      <c r="F64" s="42">
        <f>IF(E64&lt;=6,IF(D64&gt;=INDEX($C$8:$C$13,E64),1,0),0)</f>
        <v/>
      </c>
      <c r="G64" s="58">
        <f>D64-F64*IF(E64&lt;=6,INDEX($C$8:$C$13,E64),0)</f>
        <v/>
      </c>
      <c r="H64" s="58">
        <f>H63+F64*IF(E64&lt;=6,INDEX($D$8:$D$13,E64),0)</f>
        <v/>
      </c>
      <c r="I64" s="42">
        <f>IF(F64=1,"Bought: "&amp;INDEX($B$8:$B$13,E64),"")</f>
        <v/>
      </c>
    </row>
    <row r="65" ht="15" customHeight="1" s="37">
      <c r="A65" s="42" t="n">
        <v>240</v>
      </c>
      <c r="B65" s="69">
        <f>IF(A65&lt;Settings!$B$10,Settings!$B$11,IF(A65&lt;Settings!$B$12,Settings!$B$13,IF(A65&lt;Settings!$B$14,Settings!$B$15,1)))</f>
        <v/>
      </c>
      <c r="C65" s="58">
        <f>H64*B64*5/60</f>
        <v/>
      </c>
      <c r="D65" s="58">
        <f>G64+C65</f>
        <v/>
      </c>
      <c r="E65" s="42">
        <f>E64+F64</f>
        <v/>
      </c>
      <c r="F65" s="42">
        <f>IF(E65&lt;=6,IF(D65&gt;=INDEX($C$8:$C$13,E65),1,0),0)</f>
        <v/>
      </c>
      <c r="G65" s="58">
        <f>D65-F65*IF(E65&lt;=6,INDEX($C$8:$C$13,E65),0)</f>
        <v/>
      </c>
      <c r="H65" s="58">
        <f>H64+F65*IF(E65&lt;=6,INDEX($D$8:$D$13,E65),0)</f>
        <v/>
      </c>
      <c r="I65" s="42">
        <f>IF(F65=1,"Bought: "&amp;INDEX($B$8:$B$13,E65),"")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2026-10-21T10:28:37Z</dcterms:created>
  <dcterms:modified xmlns:dcterms="http://purl.org/dc/terms/" xmlns:xsi="http://www.w3.org/2001/XMLSchema-instance" xsi:type="dcterms:W3CDTF">2026-10-22T10:24:56Z</dcterms:modified>
  <cp:revision>0</cp:revision>
</cp:coreProperties>
</file>