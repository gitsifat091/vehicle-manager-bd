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Tolls" sheetId="3" state="visible" r:id="rId5"/>
    <sheet name="Cargo" sheetId="4" state="visible" r:id="rId6"/>
    <sheet name="Vehicles" sheetId="5" state="visible" r:id="rId7"/>
    <sheet name="Operating Permits" sheetId="9" state="visible" r:id="rId12"/>
    <sheet name="Routes" sheetId="6" state="visible" r:id="rId8"/>
    <sheet name="Trip Calculator" sheetId="7" state="visible" r:id="rId9"/>
    <sheet name="First Hou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Padma trailer (4 axles) Tk 6,000 plus Tk 1,500 per extra axle.</t>
        </r>
      </text>
    </comment>
    <comment ref="E5" authorId="0">
      <text>
        <r>
          <rPr>
            <sz val="10"/>
            <rFont val="Arial"/>
            <family val="2"/>
          </rPr>
          <t xml:space="preserve">Meghna+Gumti column is the total for both bridges on the Dhaka-Cumilla-Chattogram road. Approximate, built from the 2015 toll policy and a Prothom Alo report (truck about Tk 400 per bridge). Verify before release.</t>
        </r>
      </text>
    </comment>
    <comment ref="F5" authorId="0">
      <text>
        <r>
          <rPr>
            <sz val="10"/>
            <rFont val="Arial"/>
            <family val="2"/>
          </rPr>
          <t xml:space="preserve">Paturia-Daulatdia ferry. Only 'up to 3 t truck' (Tk 740) and '8-11 t truck' (Tk 1,460) are from the BIWTC fare list. Other classes are estimates.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2" authorId="0">
      <text>
        <r>
          <rPr>
            <sz val="10"/>
            <rFont val="Arial"/>
            <family val="2"/>
          </rPr>
          <t xml:space="preserve">Tanker legal load = 15,000 L of diesel at about 0.85 kg/L. Overloading not allowed.</t>
        </r>
      </text>
    </comment>
    <comment ref="O4" authorId="0">
      <text>
        <r>
          <rPr>
            <sz val="10"/>
            <rFont val="Arial"/>
            <family val="2"/>
          </rPr>
          <t xml:space="preserve">Small vehicles charge more per ton in the real market. Example: a 1.5 t pickup costs about Tk 2,000 for a 15 km city trip, far above the per-ton rate of a big truck.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Arial"/>
            <family val="2"/>
          </rPr>
          <t xml:space="preserve">Revenue = load (t) x (base fare + rate x one-way km) x cargo factor x small-load premium x freight multiplier. Local hauls are paid one way and return empty.</t>
        </r>
      </text>
    </comment>
    <comment ref="T4" authorId="0">
      <text>
        <r>
          <rPr>
            <sz val="10"/>
            <rFont val="Arial"/>
            <family val="2"/>
          </rPr>
          <t xml:space="preserve">Expected value = weighbridges on route x check chance x (fixed fine + per-ton fine x tons over).</t>
        </r>
      </text>
    </comment>
    <comment ref="AE4" authorId="0">
      <text>
        <r>
          <rPr>
            <sz val="10"/>
            <rFont val="Arial"/>
            <family val="2"/>
          </rPr>
          <t xml:space="preserve">Route daily demand divided by what one vehicle can move per game day. Below 1 means one vehicle alone exceeds the demand.</t>
        </r>
      </text>
    </comment>
  </commentList>
</comments>
</file>

<file path=xl/sharedStrings.xml><?xml version="1.0" encoding="utf-8"?>
<sst xmlns="http://schemas.openxmlformats.org/spreadsheetml/2006/main" count="454" uniqueCount="313">
  <si>
    <t xml:space="preserve">Vehicle Manager Bangladesh: economy model v0.1</t>
  </si>
  <si>
    <t xml:space="preserve">Purpose: check that the money and time numbers feel right before any code is written.</t>
  </si>
  <si>
    <t xml:space="preserve">How to use: change blue cells (yellow = main levers on the Settings sheet). Black cells are formulas, green cells link to another sheet.</t>
  </si>
  <si>
    <t xml:space="preserve">Sheets: Settings (levers), Vehicles (12 tiers), Routes, Cargo, Tolls, Trip Calculator (one row per scenario), First Hour (purchase simulation).</t>
  </si>
  <si>
    <t xml:space="preserve">All money is in Taka. Time: 'game hours' are in-world time, 'real minutes or hours' are what the player waits at 1x speed.</t>
  </si>
  <si>
    <t xml:space="preserve">Key results (live)</t>
  </si>
  <si>
    <t xml:space="preserve">Purchases in the first 60 minutes</t>
  </si>
  <si>
    <t xml:space="preserve">Purchases in the first 4 hours</t>
  </si>
  <si>
    <t xml:space="preserve">Fleet profit per real hour once Turbo Start ends (Tk)</t>
  </si>
  <si>
    <t xml:space="preserve">Tiers inside their payback target</t>
  </si>
  <si>
    <t xml:space="preserve">Tier and typical route</t>
  </si>
  <si>
    <t xml:space="preserve">Payback (real h)</t>
  </si>
  <si>
    <t xml:space="preserve">Target (real h)</t>
  </si>
  <si>
    <t xml:space="preserve">Status</t>
  </si>
  <si>
    <t xml:space="preserve">Profit per trip (Tk)</t>
  </si>
  <si>
    <t xml:space="preserve">Global settings and balancing levers</t>
  </si>
  <si>
    <t xml:space="preserve">Blue = input you can change. Yellow = key balancing lever. Every other sheet reads from here.</t>
  </si>
  <si>
    <t xml:space="preserve">Setting</t>
  </si>
  <si>
    <t xml:space="preserve">Value</t>
  </si>
  <si>
    <t xml:space="preserve">Unit</t>
  </si>
  <si>
    <t xml:space="preserve">Source or reasoning</t>
  </si>
  <si>
    <t xml:space="preserve">Diesel price</t>
  </si>
  <si>
    <t xml:space="preserve">Tk per litre</t>
  </si>
  <si>
    <t xml:space="preserve">Real. EMRD order, effective 21 Sep 2026 (research doc). Move by +/- Tk 15-20 for fuel shock events.</t>
  </si>
  <si>
    <t xml:space="preserve">Base fare per ton (loading component)</t>
  </si>
  <si>
    <t xml:space="preserve">Tk per ton</t>
  </si>
  <si>
    <t xml:space="preserve">Fitted to real fares: 6-wheel truck in Dhaka about Tk 4,700 for 20 km and Tk 24,000 Dhaka-Chattogram for 10 t (Jugantor, 9 Oct 2026).</t>
  </si>
  <si>
    <t xml:space="preserve">Freight rate per ton-km</t>
  </si>
  <si>
    <t xml:space="preserve">Tk per ton-km</t>
  </si>
  <si>
    <t xml:space="preserve">Fitted together with the base fare above. Gives about Tk 42,000 for 10 t over 450 km, close to the Chattogram-North fare after the diesel hike.</t>
  </si>
  <si>
    <t xml:space="preserve">Freight multiplier</t>
  </si>
  <si>
    <t xml:space="preserve">x</t>
  </si>
  <si>
    <t xml:space="preserve">1.0 = real Bangladesh freight rates. At 1.0 a starter pickup needs about 30 real hours to pay for itself and the first hour has only 2 purchases, which is too slow. 1.5 is the chosen default: fares stay plausible while vehicle prices, diesel and tolls stay fully real.</t>
  </si>
  <si>
    <t xml:space="preserve">Game minutes per real minute</t>
  </si>
  <si>
    <t xml:space="preserve">60 means 1 game hour passes in 1 real minute, so 1 game day = 24 real minutes. Dhaka-Chattogram takes about 9 real minutes.</t>
  </si>
  <si>
    <t xml:space="preserve">Turbo Start phase 1 ends at</t>
  </si>
  <si>
    <t xml:space="preserve">real minutes</t>
  </si>
  <si>
    <t xml:space="preserve">Truck Manager uses a Turbo Start that makes dispatches up to 200x quicker at the beginning. Ours tapers to avoid a sudden income cliff.</t>
  </si>
  <si>
    <t xml:space="preserve">Turbo Start phase 1 speed</t>
  </si>
  <si>
    <t xml:space="preserve">Game design value.</t>
  </si>
  <si>
    <t xml:space="preserve">Turbo Start phase 2 ends at</t>
  </si>
  <si>
    <t xml:space="preserve">Turbo Start phase 2 speed</t>
  </si>
  <si>
    <t xml:space="preserve">Turbo Start phase 3 ends at</t>
  </si>
  <si>
    <t xml:space="preserve">After this the game runs at 1x.</t>
  </si>
  <si>
    <t xml:space="preserve">Turbo Start phase 3 speed</t>
  </si>
  <si>
    <t xml:space="preserve">Starting cash</t>
  </si>
  <si>
    <t xml:space="preserve">Tk</t>
  </si>
  <si>
    <t xml:space="preserve">Game design value. Player also gets one free Sathi Plus pickup (tier 4).</t>
  </si>
  <si>
    <t xml:space="preserve">Terminal price (first terminal)</t>
  </si>
  <si>
    <t xml:space="preserve">Game design value. Unlocks line hauls from a second city.</t>
  </si>
  <si>
    <t xml:space="preserve">Extra fuel per 100% overload</t>
  </si>
  <si>
    <t xml:space="preserve">fraction</t>
  </si>
  <si>
    <t xml:space="preserve">Game value. 100% overload = carrying double the legal payload.</t>
  </si>
  <si>
    <t xml:space="preserve">Extra wear per 100% overload</t>
  </si>
  <si>
    <t xml:space="preserve">Game value. Axle load damage grows fast; research notes road damage is about 4x at 22 t vs 15 t.</t>
  </si>
  <si>
    <t xml:space="preserve">Chance of being checked at each weighbridge</t>
  </si>
  <si>
    <t xml:space="preserve">probability</t>
  </si>
  <si>
    <t xml:space="preserve">Game value. Weighbridges exist at Sitakunda, Meghna toll plaza and Rustampur (research doc).</t>
  </si>
  <si>
    <t xml:space="preserve">Overload fine, fixed part</t>
  </si>
  <si>
    <t xml:space="preserve">Game value, not a legal figure.</t>
  </si>
  <si>
    <t xml:space="preserve">Overload fine per extra ton</t>
  </si>
  <si>
    <t xml:space="preserve">Accident chance per 100 km, legal load</t>
  </si>
  <si>
    <t xml:space="preserve">Game value (0.2% per 100 km driven).</t>
  </si>
  <si>
    <t xml:space="preserve">Accident chance growth per 100% overload</t>
  </si>
  <si>
    <t xml:space="preserve">Game value. At 100% overload the accident chance is 5x the base.</t>
  </si>
  <si>
    <t xml:space="preserve">Accident cost as share of vehicle price</t>
  </si>
  <si>
    <t xml:space="preserve">Game value. Repair, cargo claim and downtime together.</t>
  </si>
  <si>
    <t xml:space="preserve">Maximum line haul distance</t>
  </si>
  <si>
    <t xml:space="preserve">km</t>
  </si>
  <si>
    <t xml:space="preserve">Design rule copied from Truck Manager: line hauls run terminal to terminal up to 400 km. Longer trips become contracts (post-MVP).</t>
  </si>
  <si>
    <t xml:space="preserve">Toll per crossing (Tk, one way)</t>
  </si>
  <si>
    <t xml:space="preserve">Padma: gazette rates, May 2022. Jamuna: Bridge Authority notice, Nov 2021. Meghna+Gumti and Paturia ferry are partly approximate (see comments).</t>
  </si>
  <si>
    <t xml:space="preserve">Toll class</t>
  </si>
  <si>
    <t xml:space="preserve">None</t>
  </si>
  <si>
    <t xml:space="preserve">Padma Bridge</t>
  </si>
  <si>
    <t xml:space="preserve">Jamuna Bridge</t>
  </si>
  <si>
    <t xml:space="preserve">Meghna+Gumti</t>
  </si>
  <si>
    <t xml:space="preserve">Paturia Ferry</t>
  </si>
  <si>
    <t xml:space="preserve">Not on highway</t>
  </si>
  <si>
    <t xml:space="preserve">Light</t>
  </si>
  <si>
    <t xml:space="preserve">Small truck</t>
  </si>
  <si>
    <t xml:space="preserve">Medium truck</t>
  </si>
  <si>
    <t xml:space="preserve">Big truck</t>
  </si>
  <si>
    <t xml:space="preserve">Trailer</t>
  </si>
  <si>
    <t xml:space="preserve">Trailer+1 axle</t>
  </si>
  <si>
    <t xml:space="preserve">Cargo types</t>
  </si>
  <si>
    <t xml:space="preserve">Cargo</t>
  </si>
  <si>
    <t xml:space="preserve">Rate factor</t>
  </si>
  <si>
    <t xml:space="preserve">Allowed tiers (comma separated, no spaces)</t>
  </si>
  <si>
    <t xml:space="preserve">Reasoning</t>
  </si>
  <si>
    <t xml:space="preserve">Market goods</t>
  </si>
  <si>
    <t xml:space="preserve">1,2</t>
  </si>
  <si>
    <t xml:space="preserve">Short bazaar runs.</t>
  </si>
  <si>
    <t xml:space="preserve">Parcels</t>
  </si>
  <si>
    <t xml:space="preserve">2,3,4,5</t>
  </si>
  <si>
    <t xml:space="preserve">E-commerce pays a premium for speed and small lots.</t>
  </si>
  <si>
    <t xml:space="preserve">General dry</t>
  </si>
  <si>
    <t xml:space="preserve">3,4,5,6,7,11</t>
  </si>
  <si>
    <t xml:space="preserve">Baseline. Tier 11 included so prime movers can haul general freight in the MVP. All fares are fitted to this.</t>
  </si>
  <si>
    <t xml:space="preserve">Vegetables</t>
  </si>
  <si>
    <t xml:space="preserve">3,4,5,6</t>
  </si>
  <si>
    <t xml:space="preserve">Perishable, from northern districts to Dhaka.</t>
  </si>
  <si>
    <t xml:space="preserve">Garments</t>
  </si>
  <si>
    <t xml:space="preserve">5,6,7</t>
  </si>
  <si>
    <t xml:space="preserve">Export deadline at the port. Missing it costs a penalty (later feature).</t>
  </si>
  <si>
    <t xml:space="preserve">Rice</t>
  </si>
  <si>
    <t xml:space="preserve">4,5,6,7</t>
  </si>
  <si>
    <t xml:space="preserve">Bulk, steady demand.</t>
  </si>
  <si>
    <t xml:space="preserve">Cement and rod</t>
  </si>
  <si>
    <t xml:space="preserve">6,9</t>
  </si>
  <si>
    <t xml:space="preserve">Heavy, low value per ton.</t>
  </si>
  <si>
    <t xml:space="preserve">Sand and stone</t>
  </si>
  <si>
    <t xml:space="preserve">9</t>
  </si>
  <si>
    <t xml:space="preserve">Fish</t>
  </si>
  <si>
    <t xml:space="preserve">8</t>
  </si>
  <si>
    <t xml:space="preserve">Reefer only. Needs the cold chain license.</t>
  </si>
  <si>
    <t xml:space="preserve">Fuel</t>
  </si>
  <si>
    <t xml:space="preserve">10</t>
  </si>
  <si>
    <t xml:space="preserve">Hazardous. Needs a special license.</t>
  </si>
  <si>
    <t xml:space="preserve">Containers</t>
  </si>
  <si>
    <t xml:space="preserve">11</t>
  </si>
  <si>
    <t xml:space="preserve">Port to ICD and Dhaka.</t>
  </si>
  <si>
    <t xml:space="preserve">Heavy machinery</t>
  </si>
  <si>
    <t xml:space="preserve">12</t>
  </si>
  <si>
    <t xml:space="preserve">Low-bed only. Special permit.</t>
  </si>
  <si>
    <t xml:space="preserve">Vehicle tiers</t>
  </si>
  <si>
    <t xml:space="preserve">Prices from dealer listings (research doc, indicative). Speed, mileage, maintenance, wages and premiums are game values based on that research.</t>
  </si>
  <si>
    <t xml:space="preserve">Tier</t>
  </si>
  <si>
    <t xml:space="preserve">Name (fictional)</t>
  </si>
  <si>
    <t xml:space="preserve">Real-world equivalent</t>
  </si>
  <si>
    <t xml:space="preserve">Price (lakh Tk)</t>
  </si>
  <si>
    <t xml:space="preserve">Price (Tk)</t>
  </si>
  <si>
    <t xml:space="preserve">Legal payload (t)</t>
  </si>
  <si>
    <t xml:space="preserve">Max load with overload (t)</t>
  </si>
  <si>
    <t xml:space="preserve">Highway speed (km/h)</t>
  </si>
  <si>
    <t xml:space="preserve">Mileage (km/L, 0 = not diesel)</t>
  </si>
  <si>
    <t xml:space="preserve">Other energy (Tk/km)</t>
  </si>
  <si>
    <t xml:space="preserve">Energy cost (Tk/km)</t>
  </si>
  <si>
    <t xml:space="preserve">Maintenance (Tk/km)</t>
  </si>
  <si>
    <t xml:space="preserve">Crew wage (Tk per game hour)</t>
  </si>
  <si>
    <t xml:space="preserve">Load + unload time (game h)</t>
  </si>
  <si>
    <t xml:space="preserve">Small-load premium</t>
  </si>
  <si>
    <t xml:space="preserve">Allowed on highway?</t>
  </si>
  <si>
    <t xml:space="preserve">Unlock</t>
  </si>
  <si>
    <t xml:space="preserve">Target payback min (real h)</t>
  </si>
  <si>
    <t xml:space="preserve">Target payback max (real h)</t>
  </si>
  <si>
    <t xml:space="preserve">Sonar Van</t>
  </si>
  <si>
    <t xml:space="preserve">Pedal van</t>
  </si>
  <si>
    <t xml:space="preserve">No</t>
  </si>
  <si>
    <t xml:space="preserve">Start</t>
  </si>
  <si>
    <t xml:space="preserve">Bijli Cargo</t>
  </si>
  <si>
    <t xml:space="preserve">Battery cargo 3-wheeler</t>
  </si>
  <si>
    <t xml:space="preserve">Tier 1</t>
  </si>
  <si>
    <t xml:space="preserve">Tuntuni Mini</t>
  </si>
  <si>
    <t xml:space="preserve">Tata Ace class</t>
  </si>
  <si>
    <t xml:space="preserve">Yes</t>
  </si>
  <si>
    <t xml:space="preserve">5 deliveries</t>
  </si>
  <si>
    <t xml:space="preserve">Sathi Plus</t>
  </si>
  <si>
    <t xml:space="preserve">1.5 t pickup (Dost class)</t>
  </si>
  <si>
    <t xml:space="preserve">Starter vehicle</t>
  </si>
  <si>
    <t xml:space="preserve">Meghna 14</t>
  </si>
  <si>
    <t xml:space="preserve">14 ft covered van</t>
  </si>
  <si>
    <t xml:space="preserve">Light license</t>
  </si>
  <si>
    <t xml:space="preserve">Jamuna Open</t>
  </si>
  <si>
    <t xml:space="preserve">6-wheel truck (LPT 1615 class)</t>
  </si>
  <si>
    <t xml:space="preserve">Medium license</t>
  </si>
  <si>
    <t xml:space="preserve">Karnaphuli 20</t>
  </si>
  <si>
    <t xml:space="preserve">20-23 ft covered van</t>
  </si>
  <si>
    <t xml:space="preserve">Factory contract</t>
  </si>
  <si>
    <t xml:space="preserve">Himaloy Reefer</t>
  </si>
  <si>
    <t xml:space="preserve">Freezer van</t>
  </si>
  <si>
    <t xml:space="preserve">Cold chain license</t>
  </si>
  <si>
    <t xml:space="preserve">Pahari Tipper</t>
  </si>
  <si>
    <t xml:space="preserve">10-wheel tipper</t>
  </si>
  <si>
    <t xml:space="preserve">Construction project</t>
  </si>
  <si>
    <t xml:space="preserve">Telrani</t>
  </si>
  <si>
    <t xml:space="preserve">Fuel tanker</t>
  </si>
  <si>
    <t xml:space="preserve">Hazmat license</t>
  </si>
  <si>
    <t xml:space="preserve">Bongo Mover 40</t>
  </si>
  <si>
    <t xml:space="preserve">Prime mover + 40 ft trailer</t>
  </si>
  <si>
    <t xml:space="preserve">Heavy license</t>
  </si>
  <si>
    <t xml:space="preserve">Hati Lowbed</t>
  </si>
  <si>
    <t xml:space="preserve">Low-bed trailer</t>
  </si>
  <si>
    <t xml:space="preserve">Late game</t>
  </si>
  <si>
    <t xml:space="preserve">Routes</t>
  </si>
  <si>
    <t xml:space="preserve">Distances are approximate road km. Replace with OSRM output during data prep. Daily demand is a game value per route.</t>
  </si>
  <si>
    <t xml:space="preserve">Route ID</t>
  </si>
  <si>
    <t xml:space="preserve">From</t>
  </si>
  <si>
    <t xml:space="preserve">To</t>
  </si>
  <si>
    <t xml:space="preserve">Distance (km, one way)</t>
  </si>
  <si>
    <t xml:space="preserve">Haul type</t>
  </si>
  <si>
    <t xml:space="preserve">Crossing</t>
  </si>
  <si>
    <t xml:space="preserve">Weighbridges</t>
  </si>
  <si>
    <t xml:space="preserve">Extra delay (game h)</t>
  </si>
  <si>
    <t xml:space="preserve">Daily demand (t)</t>
  </si>
  <si>
    <t xml:space="preserve">Notes</t>
  </si>
  <si>
    <t xml:space="preserve">M01</t>
  </si>
  <si>
    <t xml:space="preserve">Kawran Bazar</t>
  </si>
  <si>
    <t xml:space="preserve">Nearby shops</t>
  </si>
  <si>
    <t xml:space="preserve">Local</t>
  </si>
  <si>
    <t xml:space="preserve">Pedal van market runs.</t>
  </si>
  <si>
    <t xml:space="preserve">M02</t>
  </si>
  <si>
    <t xml:space="preserve">Dhaka</t>
  </si>
  <si>
    <t xml:space="preserve">Neighbourhood delivery</t>
  </si>
  <si>
    <t xml:space="preserve">Battery cargo, parcels.</t>
  </si>
  <si>
    <t xml:space="preserve">R01</t>
  </si>
  <si>
    <t xml:space="preserve">Dhaka (Tejgaon)</t>
  </si>
  <si>
    <t xml:space="preserve">Dhaka city</t>
  </si>
  <si>
    <t xml:space="preserve">Starter route. Two pickups use up most of the demand.</t>
  </si>
  <si>
    <t xml:space="preserve">R02</t>
  </si>
  <si>
    <t xml:space="preserve">Narayanganj</t>
  </si>
  <si>
    <t xml:space="preserve">R03</t>
  </si>
  <si>
    <t xml:space="preserve">Gazipur</t>
  </si>
  <si>
    <t xml:space="preserve">Garment belt.</t>
  </si>
  <si>
    <t xml:space="preserve">R04</t>
  </si>
  <si>
    <t xml:space="preserve">Cumilla</t>
  </si>
  <si>
    <t xml:space="preserve">Line</t>
  </si>
  <si>
    <t xml:space="preserve">R05</t>
  </si>
  <si>
    <t xml:space="preserve">Chattogram Port</t>
  </si>
  <si>
    <t xml:space="preserve">N1, the main trade corridor.</t>
  </si>
  <si>
    <t xml:space="preserve">R06</t>
  </si>
  <si>
    <t xml:space="preserve">Garment exports.</t>
  </si>
  <si>
    <t xml:space="preserve">R07</t>
  </si>
  <si>
    <t xml:space="preserve">Sylhet</t>
  </si>
  <si>
    <t xml:space="preserve">R08</t>
  </si>
  <si>
    <t xml:space="preserve">Bogura</t>
  </si>
  <si>
    <t xml:space="preserve">Northern farm goods.</t>
  </si>
  <si>
    <t xml:space="preserve">R09</t>
  </si>
  <si>
    <t xml:space="preserve">Rangpur</t>
  </si>
  <si>
    <t xml:space="preserve">R10</t>
  </si>
  <si>
    <t xml:space="preserve">Khulna (via Padma)</t>
  </si>
  <si>
    <t xml:space="preserve">Fish and shrimp belt.</t>
  </si>
  <si>
    <t xml:space="preserve">R11</t>
  </si>
  <si>
    <t xml:space="preserve">Khulna (via Paturia ferry)</t>
  </si>
  <si>
    <t xml:space="preserve">Cheaper toll, average 6 h ferry wait (can be 2 to 48 h).</t>
  </si>
  <si>
    <t xml:space="preserve">R12</t>
  </si>
  <si>
    <t xml:space="preserve">Benapole</t>
  </si>
  <si>
    <t xml:space="preserve">India border, queue at the land port.</t>
  </si>
  <si>
    <t xml:space="preserve">R13</t>
  </si>
  <si>
    <t xml:space="preserve">R14</t>
  </si>
  <si>
    <t xml:space="preserve">Dhaka sites (sand)</t>
  </si>
  <si>
    <t xml:space="preserve">Tipper loop.</t>
  </si>
  <si>
    <t xml:space="preserve">Trip calculator: one row per scenario</t>
  </si>
  <si>
    <t xml:space="preserve">Change the blue columns (tier, route, cargo, overload). Everything else is calculated. Payback assumes the vehicle is always busy at 1x speed.</t>
  </si>
  <si>
    <t xml:space="preserve">Scenario</t>
  </si>
  <si>
    <t xml:space="preserve">Overload asked (t)</t>
  </si>
  <si>
    <t xml:space="preserve">Vehicle</t>
  </si>
  <si>
    <t xml:space="preserve">Load carried (t)</t>
  </si>
  <si>
    <t xml:space="preserve">Overload ratio</t>
  </si>
  <si>
    <t xml:space="preserve">One-way km</t>
  </si>
  <si>
    <t xml:space="preserve">Driven km</t>
  </si>
  <si>
    <t xml:space="preserve">Revenue (Tk)</t>
  </si>
  <si>
    <t xml:space="preserve">Energy (Tk)</t>
  </si>
  <si>
    <t xml:space="preserve">Tolls (Tk)</t>
  </si>
  <si>
    <t xml:space="preserve">Trip time (game h)</t>
  </si>
  <si>
    <t xml:space="preserve">Crew (Tk)</t>
  </si>
  <si>
    <t xml:space="preserve">Maintenance (Tk)</t>
  </si>
  <si>
    <t xml:space="preserve">Expected fines (Tk)</t>
  </si>
  <si>
    <t xml:space="preserve">Expected accident cost (Tk)</t>
  </si>
  <si>
    <t xml:space="preserve">Total cost (Tk)</t>
  </si>
  <si>
    <t xml:space="preserve">Margin</t>
  </si>
  <si>
    <t xml:space="preserve">Trip time (real min at 1x)</t>
  </si>
  <si>
    <t xml:space="preserve">Profit per real hour (Tk)</t>
  </si>
  <si>
    <t xml:space="preserve">Trips per game day</t>
  </si>
  <si>
    <t xml:space="preserve">Vehicles before demand runs out</t>
  </si>
  <si>
    <t xml:space="preserve">Warning</t>
  </si>
  <si>
    <t xml:space="preserve">Tier 1 typical</t>
  </si>
  <si>
    <t xml:space="preserve">Tier 2 typical</t>
  </si>
  <si>
    <t xml:space="preserve">Tier 3 typical</t>
  </si>
  <si>
    <t xml:space="preserve">Tier 4 typical (starter)</t>
  </si>
  <si>
    <t xml:space="preserve">Tier 5 typical</t>
  </si>
  <si>
    <t xml:space="preserve">Tier 6 typical</t>
  </si>
  <si>
    <t xml:space="preserve">Tier 7 typical</t>
  </si>
  <si>
    <t xml:space="preserve">Tier 8 typical</t>
  </si>
  <si>
    <t xml:space="preserve">Tier 9 typical</t>
  </si>
  <si>
    <t xml:space="preserve">Tier 10 typical</t>
  </si>
  <si>
    <t xml:space="preserve">Tier 11 typical</t>
  </si>
  <si>
    <t xml:space="preserve">Tier 12 typical</t>
  </si>
  <si>
    <t xml:space="preserve">Overload test: 6-wheel, legal</t>
  </si>
  <si>
    <t xml:space="preserve">Overload test: 6-wheel, +8 t</t>
  </si>
  <si>
    <t xml:space="preserve">Overload test: 6-wheel, +12 t</t>
  </si>
  <si>
    <t xml:space="preserve">Overload test: +12 t, no weighbridge</t>
  </si>
  <si>
    <t xml:space="preserve">Bridge test: Khulna via Padma</t>
  </si>
  <si>
    <t xml:space="preserve">Bridge test: Khulna via ferry</t>
  </si>
  <si>
    <t xml:space="preserve">Queue item: pickup to Narayanganj</t>
  </si>
  <si>
    <t xml:space="preserve">Queue item: 14 ft van Dhaka-Cumilla</t>
  </si>
  <si>
    <t xml:space="preserve">Queue item: pickup to Gazipur</t>
  </si>
  <si>
    <t xml:space="preserve">Rule check: van on highway</t>
  </si>
  <si>
    <t xml:space="preserve">First hours of play: greedy purchase simulation</t>
  </si>
  <si>
    <t xml:space="preserve">The player starts with the starting cash and one free Sathi Plus, then buys the next queue item as soon as cash allows (at most one per 5 minutes).</t>
  </si>
  <si>
    <t xml:space="preserve">Starting cash (Tk)</t>
  </si>
  <si>
    <t xml:space="preserve">Purchases in first 60 min</t>
  </si>
  <si>
    <t xml:space="preserve">Starter vehicle profit per real hour at 1x (Tk)</t>
  </si>
  <si>
    <t xml:space="preserve">Purchases in first 4 hours</t>
  </si>
  <si>
    <t xml:space="preserve">Fleet profit per hour after Turbo Start (Tk)</t>
  </si>
  <si>
    <t xml:space="preserve">#</t>
  </si>
  <si>
    <t xml:space="preserve">Purchase queue item</t>
  </si>
  <si>
    <t xml:space="preserve">Adds profit per real hour at 1x (Tk)</t>
  </si>
  <si>
    <t xml:space="preserve">Tuntuni Mini on Dhaka city route</t>
  </si>
  <si>
    <t xml:space="preserve">Sathi Plus to Narayanganj</t>
  </si>
  <si>
    <t xml:space="preserve">Terminal in Gazipur</t>
  </si>
  <si>
    <t xml:space="preserve">Sathi Plus to Gazipur</t>
  </si>
  <si>
    <t xml:space="preserve">Meghna 14 Dhaka-Cumilla</t>
  </si>
  <si>
    <t xml:space="preserve">Jamuna Open Dhaka-Chattogram</t>
  </si>
  <si>
    <t xml:space="preserve">Real minute</t>
  </si>
  <si>
    <t xml:space="preserve">Speed (x)</t>
  </si>
  <si>
    <t xml:space="preserve">Income this step (Tk)</t>
  </si>
  <si>
    <t xml:space="preserve">Cash before buying (Tk)</t>
  </si>
  <si>
    <t xml:space="preserve">Next queue item #</t>
  </si>
  <si>
    <t xml:space="preserve">Bought? (1 = yes)</t>
  </si>
  <si>
    <t xml:space="preserve">Cash after (Tk)</t>
  </si>
  <si>
    <t xml:space="preserve">Fleet profit per real hour at 1x (Tk)</t>
  </si>
  <si>
    <t xml:space="preserve">Event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</si>
</sst>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;\(#,##0\);\-"/>
    <numFmt numFmtId="167" formatCode="0.0"/>
    <numFmt numFmtId="168" formatCode="0.00"/>
    <numFmt numFmtId="169" formatCode="0.0\x"/>
    <numFmt numFmtId="170" formatCode="0.0%"/>
    <numFmt numFmtId="171" formatCode="0.00%"/>
    <numFmt numFmtId="172" formatCode="0.00\x"/>
    <numFmt numFmtId="173" formatCode="#,##0.0;\(#,##0.0\);\-"/>
    <numFmt numFmtId="174" formatCode="#,##0.00;\(#,##0.00\);\-"/>
    <numFmt numFmtId="175" formatCode="0.0%;\(0.0%\);\-"/>
    <numFmt numFmtId="176" formatCode="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 t="s">
        <v>2</v>
      </c>
      <c r="B4" s="2"/>
      <c r="C4" s="2"/>
      <c r="D4" s="2"/>
      <c r="E4" s="2"/>
    </row>
    <row r="5" customFormat="false" ht="15" hidden="false" customHeight="false" outlineLevel="0" collapsed="false">
      <c r="A5" s="3" t="inlineStr">
        <is>
          <t>Sheets: Settings (levers), Vehicles (12 tiers), Operating Permits (one-time Taka purchases that unlock tiers), Routes, Cargo, Tolls, Trip Calculator (one row per scenario), First Hour (purchase simulation).</t>
        </is>
      </c>
      <c r="B5" s="2"/>
      <c r="C5" s="2"/>
      <c r="D5" s="2"/>
      <c r="E5" s="2"/>
    </row>
    <row r="6" customFormat="false" ht="15" hidden="false" customHeight="false" outlineLevel="0" collapsed="false">
      <c r="A6" s="3" t="s">
        <v>4</v>
      </c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4" t="s">
        <v>5</v>
      </c>
      <c r="B8" s="2"/>
      <c r="C8" s="2"/>
      <c r="D8" s="2"/>
      <c r="E8" s="2"/>
    </row>
    <row r="9" customFormat="false" ht="15" hidden="false" customHeight="false" outlineLevel="0" collapsed="false">
      <c r="A9" s="5" t="s">
        <v>6</v>
      </c>
      <c r="B9" s="6" t="n">
        <f aca="false">'First Hour'!G4</f>
        <v>3</v>
      </c>
      <c r="C9" s="2"/>
      <c r="D9" s="2"/>
      <c r="E9" s="2"/>
    </row>
    <row r="10" customFormat="false" ht="15" hidden="false" customHeight="false" outlineLevel="0" collapsed="false">
      <c r="A10" s="5" t="s">
        <v>7</v>
      </c>
      <c r="B10" s="6" t="n">
        <f aca="false">'First Hour'!G5</f>
        <v>4</v>
      </c>
      <c r="C10" s="2"/>
      <c r="D10" s="2"/>
      <c r="E10" s="2"/>
    </row>
    <row r="11" customFormat="false" ht="15" hidden="false" customHeight="false" outlineLevel="0" collapsed="false">
      <c r="A11" s="5" t="s">
        <v>8</v>
      </c>
      <c r="B11" s="7" t="n">
        <f aca="false">'First Hour'!G6</f>
        <v>247606.655844156</v>
      </c>
      <c r="C11" s="2"/>
      <c r="D11" s="2"/>
      <c r="E11" s="2"/>
    </row>
    <row r="12" customFormat="false" ht="15" hidden="false" customHeight="false" outlineLevel="0" collapsed="false">
      <c r="A12" s="5" t="s">
        <v>9</v>
      </c>
      <c r="B12" s="6" t="str">
        <f aca="false">COUNTIF('Trip Calculator'!AC5:AC16,"OK")&amp;" of 12"</f>
        <v>12 of 12</v>
      </c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4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  <c r="E14" s="8" t="s">
        <v>14</v>
      </c>
    </row>
    <row r="15" customFormat="false" ht="15" hidden="false" customHeight="false" outlineLevel="0" collapsed="false">
      <c r="A15" s="6" t="str">
        <f aca="false">'Trip Calculator'!F5&amp;" on "&amp;'Trip Calculator'!C5&amp;" ("&amp;'Trip Calculator'!D5&amp;")"</f>
        <v>Sonar Van on M01 (Market goods)</v>
      </c>
      <c r="B15" s="9" t="n">
        <f aca="false">'Trip Calculator'!AA5</f>
        <v>0.907947131535598</v>
      </c>
      <c r="C15" s="6" t="str">
        <f aca="false">'Trip Calculator'!AB5</f>
        <v>0.5 to 5</v>
      </c>
      <c r="D15" s="6" t="str">
        <f aca="false">'Trip Calculator'!AC5</f>
        <v>OK</v>
      </c>
      <c r="E15" s="7" t="n">
        <f aca="false">'Trip Calculator'!W5</f>
        <v>385.485</v>
      </c>
    </row>
    <row r="16" customFormat="false" ht="15" hidden="false" customHeight="false" outlineLevel="0" collapsed="false">
      <c r="A16" s="6" t="str">
        <f aca="false">'Trip Calculator'!F6&amp;" on "&amp;'Trip Calculator'!C6&amp;" ("&amp;'Trip Calculator'!D6&amp;")"</f>
        <v>Bijli Cargo on M02 (Parcels)</v>
      </c>
      <c r="B16" s="9" t="n">
        <f aca="false">'Trip Calculator'!AA6</f>
        <v>3.24027916251246</v>
      </c>
      <c r="C16" s="6" t="str">
        <f aca="false">'Trip Calculator'!AB6</f>
        <v>1 to 10</v>
      </c>
      <c r="D16" s="6" t="str">
        <f aca="false">'Trip Calculator'!AC6</f>
        <v>OK</v>
      </c>
      <c r="E16" s="7" t="n">
        <f aca="false">'Trip Calculator'!W6</f>
        <v>1003</v>
      </c>
    </row>
    <row r="17" customFormat="false" ht="15" hidden="false" customHeight="false" outlineLevel="0" collapsed="false">
      <c r="A17" s="6" t="str">
        <f aca="false">'Trip Calculator'!F7&amp;" on "&amp;'Trip Calculator'!C7&amp;" ("&amp;'Trip Calculator'!D7&amp;")"</f>
        <v>Tuntuni Mini on R01 (Parcels)</v>
      </c>
      <c r="B17" s="9" t="n">
        <f aca="false">'Trip Calculator'!AA7</f>
        <v>13.3515399787589</v>
      </c>
      <c r="C17" s="6" t="str">
        <f aca="false">'Trip Calculator'!AB7</f>
        <v>5 to 30</v>
      </c>
      <c r="D17" s="6" t="str">
        <f aca="false">'Trip Calculator'!AC7</f>
        <v>OK</v>
      </c>
      <c r="E17" s="7" t="n">
        <f aca="false">'Trip Calculator'!W7</f>
        <v>1830.83333333333</v>
      </c>
    </row>
    <row r="18" customFormat="false" ht="15" hidden="false" customHeight="false" outlineLevel="0" collapsed="false">
      <c r="A18" s="6" t="str">
        <f aca="false">'Trip Calculator'!F8&amp;" on "&amp;'Trip Calculator'!C8&amp;" ("&amp;'Trip Calculator'!D8&amp;")"</f>
        <v>Sathi Plus on R01 (General dry)</v>
      </c>
      <c r="B18" s="9" t="n">
        <f aca="false">'Trip Calculator'!AA8</f>
        <v>14.40500217658</v>
      </c>
      <c r="C18" s="6" t="str">
        <f aca="false">'Trip Calculator'!AB8</f>
        <v>5 to 30</v>
      </c>
      <c r="D18" s="6" t="str">
        <f aca="false">'Trip Calculator'!AC8</f>
        <v>OK</v>
      </c>
      <c r="E18" s="7" t="n">
        <f aca="false">'Trip Calculator'!W8</f>
        <v>2105.75</v>
      </c>
    </row>
    <row r="19" customFormat="false" ht="15" hidden="false" customHeight="false" outlineLevel="0" collapsed="false">
      <c r="A19" s="6" t="str">
        <f aca="false">'Trip Calculator'!F9&amp;" on "&amp;'Trip Calculator'!C9&amp;" ("&amp;'Trip Calculator'!D9&amp;")"</f>
        <v>Meghna 14 on R04 (Parcels)</v>
      </c>
      <c r="B19" s="9" t="n">
        <f aca="false">'Trip Calculator'!AA9</f>
        <v>11.7824157117634</v>
      </c>
      <c r="C19" s="6" t="str">
        <f aca="false">'Trip Calculator'!AB9</f>
        <v>10 to 40</v>
      </c>
      <c r="D19" s="6" t="str">
        <f aca="false">'Trip Calculator'!AC9</f>
        <v>OK</v>
      </c>
      <c r="E19" s="7" t="n">
        <f aca="false">'Trip Calculator'!W9</f>
        <v>13163.0555555556</v>
      </c>
    </row>
    <row r="20" customFormat="false" ht="15" hidden="false" customHeight="false" outlineLevel="0" collapsed="false">
      <c r="A20" s="6" t="str">
        <f aca="false">'Trip Calculator'!F10&amp;" on "&amp;'Trip Calculator'!C10&amp;" ("&amp;'Trip Calculator'!D10&amp;")"</f>
        <v>Jamuna Open on R05 (General dry)</v>
      </c>
      <c r="B20" s="9" t="n">
        <f aca="false">'Trip Calculator'!AA10</f>
        <v>20.5598388553171</v>
      </c>
      <c r="C20" s="6" t="str">
        <f aca="false">'Trip Calculator'!AB10</f>
        <v>10 to 40</v>
      </c>
      <c r="D20" s="6" t="str">
        <f aca="false">'Trip Calculator'!AC10</f>
        <v>OK</v>
      </c>
      <c r="E20" s="7" t="n">
        <f aca="false">'Trip Calculator'!W10</f>
        <v>23995</v>
      </c>
    </row>
    <row r="21" customFormat="false" ht="15" hidden="false" customHeight="false" outlineLevel="0" collapsed="false">
      <c r="A21" s="6" t="str">
        <f aca="false">'Trip Calculator'!F11&amp;" on "&amp;'Trip Calculator'!C11&amp;" ("&amp;'Trip Calculator'!D11&amp;")"</f>
        <v>Karnaphuli 20 on R06 (Garments)</v>
      </c>
      <c r="B21" s="9" t="n">
        <f aca="false">'Trip Calculator'!AA11</f>
        <v>13.6129261679335</v>
      </c>
      <c r="C21" s="6" t="str">
        <f aca="false">'Trip Calculator'!AB11</f>
        <v>10 to 40</v>
      </c>
      <c r="D21" s="6" t="str">
        <f aca="false">'Trip Calculator'!AC11</f>
        <v>OK</v>
      </c>
      <c r="E21" s="7" t="n">
        <f aca="false">'Trip Calculator'!W11</f>
        <v>44994</v>
      </c>
    </row>
    <row r="22" customFormat="false" ht="15" hidden="false" customHeight="false" outlineLevel="0" collapsed="false">
      <c r="A22" s="6" t="str">
        <f aca="false">'Trip Calculator'!F12&amp;" on "&amp;'Trip Calculator'!C12&amp;" ("&amp;'Trip Calculator'!D12&amp;")"</f>
        <v>Himaloy Reefer on R10 (Fish)</v>
      </c>
      <c r="B22" s="9" t="n">
        <f aca="false">'Trip Calculator'!AA12</f>
        <v>22.2714787201323</v>
      </c>
      <c r="C22" s="6" t="str">
        <f aca="false">'Trip Calculator'!AB12</f>
        <v>10 to 40</v>
      </c>
      <c r="D22" s="6" t="str">
        <f aca="false">'Trip Calculator'!AC12</f>
        <v>OK</v>
      </c>
      <c r="E22" s="7" t="n">
        <f aca="false">'Trip Calculator'!W12</f>
        <v>26940.2857142857</v>
      </c>
    </row>
    <row r="23" customFormat="false" ht="15" hidden="false" customHeight="false" outlineLevel="0" collapsed="false">
      <c r="A23" s="6" t="str">
        <f aca="false">'Trip Calculator'!F13&amp;" on "&amp;'Trip Calculator'!C13&amp;" ("&amp;'Trip Calculator'!D13&amp;")"</f>
        <v>Pahari Tipper on R14 (Sand and stone)</v>
      </c>
      <c r="B23" s="9" t="n">
        <f aca="false">'Trip Calculator'!AA13</f>
        <v>32.9701620033869</v>
      </c>
      <c r="C23" s="6" t="str">
        <f aca="false">'Trip Calculator'!AB13</f>
        <v>20 to 80</v>
      </c>
      <c r="D23" s="6" t="str">
        <f aca="false">'Trip Calculator'!AC13</f>
        <v>OK</v>
      </c>
      <c r="E23" s="7" t="n">
        <f aca="false">'Trip Calculator'!W13</f>
        <v>11121.1666666667</v>
      </c>
    </row>
    <row r="24" customFormat="false" ht="15" hidden="false" customHeight="false" outlineLevel="0" collapsed="false">
      <c r="A24" s="6" t="str">
        <f aca="false">'Trip Calculator'!F14&amp;" on "&amp;'Trip Calculator'!C14&amp;" ("&amp;'Trip Calculator'!D14&amp;")"</f>
        <v>Telrani on R05 (Fuel)</v>
      </c>
      <c r="B24" s="9" t="n">
        <f aca="false">'Trip Calculator'!AA14</f>
        <v>20.5609953349386</v>
      </c>
      <c r="C24" s="6" t="str">
        <f aca="false">'Trip Calculator'!AB14</f>
        <v>20 to 80</v>
      </c>
      <c r="D24" s="6" t="str">
        <f aca="false">'Trip Calculator'!AC14</f>
        <v>OK</v>
      </c>
      <c r="E24" s="7" t="n">
        <f aca="false">'Trip Calculator'!W14</f>
        <v>39082.3214285714</v>
      </c>
    </row>
    <row r="25" customFormat="false" ht="15" hidden="false" customHeight="false" outlineLevel="0" collapsed="false">
      <c r="A25" s="6" t="str">
        <f aca="false">'Trip Calculator'!F15&amp;" on "&amp;'Trip Calculator'!C15&amp;" ("&amp;'Trip Calculator'!D15&amp;")"</f>
        <v>Bongo Mover 40 on R05 (Containers)</v>
      </c>
      <c r="B25" s="9" t="n">
        <f aca="false">'Trip Calculator'!AA15</f>
        <v>23.2968857945044</v>
      </c>
      <c r="C25" s="6" t="str">
        <f aca="false">'Trip Calculator'!AB15</f>
        <v>20 to 80</v>
      </c>
      <c r="D25" s="6" t="str">
        <f aca="false">'Trip Calculator'!AC15</f>
        <v>OK</v>
      </c>
      <c r="E25" s="7" t="n">
        <f aca="false">'Trip Calculator'!W15</f>
        <v>49490.5714285714</v>
      </c>
    </row>
    <row r="26" customFormat="false" ht="15" hidden="false" customHeight="false" outlineLevel="0" collapsed="false">
      <c r="A26" s="6" t="str">
        <f aca="false">'Trip Calculator'!F16&amp;" on "&amp;'Trip Calculator'!C16&amp;" ("&amp;'Trip Calculator'!D16&amp;")"</f>
        <v>Hati Lowbed on R05 (Heavy machinery)</v>
      </c>
      <c r="B26" s="9" t="n">
        <f aca="false">'Trip Calculator'!AA16</f>
        <v>25.1419848699127</v>
      </c>
      <c r="C26" s="6" t="str">
        <f aca="false">'Trip Calculator'!AB16</f>
        <v>20 to 80</v>
      </c>
      <c r="D26" s="6" t="str">
        <f aca="false">'Trip Calculator'!AC16</f>
        <v>OK</v>
      </c>
      <c r="E26" s="7" t="n">
        <f aca="false">'Trip Calculator'!W16</f>
        <v>74245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15</v>
      </c>
      <c r="B1" s="2"/>
      <c r="C1" s="2"/>
      <c r="D1" s="2"/>
    </row>
    <row r="2" customFormat="false" ht="15" hidden="false" customHeight="false" outlineLevel="0" collapsed="false">
      <c r="A2" s="10" t="s">
        <v>16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45" hidden="false" customHeight="true" outlineLevel="0" collapsed="false">
      <c r="A4" s="8" t="s">
        <v>17</v>
      </c>
      <c r="B4" s="8" t="s">
        <v>18</v>
      </c>
      <c r="C4" s="8" t="s">
        <v>19</v>
      </c>
      <c r="D4" s="8" t="s">
        <v>20</v>
      </c>
    </row>
    <row r="5" customFormat="false" ht="26.85" hidden="false" customHeight="false" outlineLevel="0" collapsed="false">
      <c r="A5" s="5" t="s">
        <v>21</v>
      </c>
      <c r="B5" s="11" t="n">
        <v>135</v>
      </c>
      <c r="C5" s="5" t="s">
        <v>22</v>
      </c>
      <c r="D5" s="12" t="s">
        <v>23</v>
      </c>
    </row>
    <row r="6" customFormat="false" ht="26.85" hidden="false" customHeight="false" outlineLevel="0" collapsed="false">
      <c r="A6" s="5" t="s">
        <v>24</v>
      </c>
      <c r="B6" s="11" t="n">
        <v>300</v>
      </c>
      <c r="C6" s="5" t="s">
        <v>25</v>
      </c>
      <c r="D6" s="12" t="s">
        <v>26</v>
      </c>
    </row>
    <row r="7" customFormat="false" ht="26.85" hidden="false" customHeight="false" outlineLevel="0" collapsed="false">
      <c r="A7" s="5" t="s">
        <v>27</v>
      </c>
      <c r="B7" s="13" t="n">
        <v>8.5</v>
      </c>
      <c r="C7" s="5" t="s">
        <v>28</v>
      </c>
      <c r="D7" s="12" t="s">
        <v>29</v>
      </c>
    </row>
    <row r="8" customFormat="false" ht="39.55" hidden="false" customHeight="false" outlineLevel="0" collapsed="false">
      <c r="A8" s="5" t="s">
        <v>30</v>
      </c>
      <c r="B8" s="14" t="n">
        <v>1.5</v>
      </c>
      <c r="C8" s="5" t="s">
        <v>31</v>
      </c>
      <c r="D8" s="12" t="s">
        <v>32</v>
      </c>
    </row>
    <row r="9" customFormat="false" ht="26.85" hidden="false" customHeight="false" outlineLevel="0" collapsed="false">
      <c r="A9" s="5" t="s">
        <v>33</v>
      </c>
      <c r="B9" s="14" t="n">
        <v>60</v>
      </c>
      <c r="C9" s="5" t="s">
        <v>31</v>
      </c>
      <c r="D9" s="12" t="s">
        <v>34</v>
      </c>
    </row>
    <row r="10" customFormat="false" ht="26.85" hidden="false" customHeight="false" outlineLevel="0" collapsed="false">
      <c r="A10" s="5" t="s">
        <v>35</v>
      </c>
      <c r="B10" s="15" t="n">
        <v>20</v>
      </c>
      <c r="C10" s="5" t="s">
        <v>36</v>
      </c>
      <c r="D10" s="12" t="s">
        <v>37</v>
      </c>
    </row>
    <row r="11" customFormat="false" ht="15" hidden="false" customHeight="false" outlineLevel="0" collapsed="false">
      <c r="A11" s="5" t="s">
        <v>38</v>
      </c>
      <c r="B11" s="14" t="n">
        <v>20</v>
      </c>
      <c r="C11" s="5" t="s">
        <v>31</v>
      </c>
      <c r="D11" s="12" t="s">
        <v>39</v>
      </c>
    </row>
    <row r="12" customFormat="false" ht="15" hidden="false" customHeight="false" outlineLevel="0" collapsed="false">
      <c r="A12" s="5" t="s">
        <v>40</v>
      </c>
      <c r="B12" s="15" t="n">
        <v>40</v>
      </c>
      <c r="C12" s="5" t="s">
        <v>36</v>
      </c>
      <c r="D12" s="12" t="s">
        <v>39</v>
      </c>
    </row>
    <row r="13" customFormat="false" ht="15" hidden="false" customHeight="false" outlineLevel="0" collapsed="false">
      <c r="A13" s="5" t="s">
        <v>41</v>
      </c>
      <c r="B13" s="14" t="n">
        <v>10</v>
      </c>
      <c r="C13" s="5" t="s">
        <v>31</v>
      </c>
      <c r="D13" s="12" t="s">
        <v>39</v>
      </c>
    </row>
    <row r="14" customFormat="false" ht="15" hidden="false" customHeight="false" outlineLevel="0" collapsed="false">
      <c r="A14" s="5" t="s">
        <v>42</v>
      </c>
      <c r="B14" s="15" t="n">
        <v>60</v>
      </c>
      <c r="C14" s="5" t="s">
        <v>36</v>
      </c>
      <c r="D14" s="12" t="s">
        <v>43</v>
      </c>
    </row>
    <row r="15" customFormat="false" ht="15" hidden="false" customHeight="false" outlineLevel="0" collapsed="false">
      <c r="A15" s="5" t="s">
        <v>44</v>
      </c>
      <c r="B15" s="14" t="n">
        <v>5</v>
      </c>
      <c r="C15" s="5" t="s">
        <v>31</v>
      </c>
      <c r="D15" s="12" t="s">
        <v>39</v>
      </c>
    </row>
    <row r="16" customFormat="false" ht="15" hidden="false" customHeight="false" outlineLevel="0" collapsed="false">
      <c r="A16" s="5" t="s">
        <v>45</v>
      </c>
      <c r="B16" s="15" t="n">
        <v>1500000</v>
      </c>
      <c r="C16" s="5" t="s">
        <v>46</v>
      </c>
      <c r="D16" s="12" t="s">
        <v>47</v>
      </c>
    </row>
    <row r="17" customFormat="false" ht="15" hidden="false" customHeight="false" outlineLevel="0" collapsed="false">
      <c r="A17" s="5" t="s">
        <v>48</v>
      </c>
      <c r="B17" s="11" t="n">
        <v>800000</v>
      </c>
      <c r="C17" s="5" t="s">
        <v>46</v>
      </c>
      <c r="D17" s="12" t="s">
        <v>49</v>
      </c>
    </row>
    <row r="18" customFormat="false" ht="15" hidden="false" customHeight="false" outlineLevel="0" collapsed="false">
      <c r="A18" s="5" t="s">
        <v>50</v>
      </c>
      <c r="B18" s="16" t="n">
        <v>0.3</v>
      </c>
      <c r="C18" s="5" t="s">
        <v>51</v>
      </c>
      <c r="D18" s="12" t="s">
        <v>52</v>
      </c>
    </row>
    <row r="19" customFormat="false" ht="26.85" hidden="false" customHeight="false" outlineLevel="0" collapsed="false">
      <c r="A19" s="5" t="s">
        <v>53</v>
      </c>
      <c r="B19" s="16" t="n">
        <v>1.5</v>
      </c>
      <c r="C19" s="5" t="s">
        <v>51</v>
      </c>
      <c r="D19" s="12" t="s">
        <v>54</v>
      </c>
    </row>
    <row r="20" customFormat="false" ht="15" hidden="false" customHeight="false" outlineLevel="0" collapsed="false">
      <c r="A20" s="5" t="s">
        <v>55</v>
      </c>
      <c r="B20" s="16" t="n">
        <v>0.35</v>
      </c>
      <c r="C20" s="5" t="s">
        <v>56</v>
      </c>
      <c r="D20" s="12" t="s">
        <v>57</v>
      </c>
    </row>
    <row r="21" customFormat="false" ht="15" hidden="false" customHeight="false" outlineLevel="0" collapsed="false">
      <c r="A21" s="5" t="s">
        <v>58</v>
      </c>
      <c r="B21" s="11" t="n">
        <v>5000</v>
      </c>
      <c r="C21" s="5" t="s">
        <v>46</v>
      </c>
      <c r="D21" s="12" t="s">
        <v>59</v>
      </c>
    </row>
    <row r="22" customFormat="false" ht="15" hidden="false" customHeight="false" outlineLevel="0" collapsed="false">
      <c r="A22" s="5" t="s">
        <v>60</v>
      </c>
      <c r="B22" s="11" t="n">
        <v>2000</v>
      </c>
      <c r="C22" s="5" t="s">
        <v>25</v>
      </c>
      <c r="D22" s="12" t="s">
        <v>59</v>
      </c>
    </row>
    <row r="23" customFormat="false" ht="15" hidden="false" customHeight="false" outlineLevel="0" collapsed="false">
      <c r="A23" s="5" t="s">
        <v>61</v>
      </c>
      <c r="B23" s="17" t="n">
        <v>0.002</v>
      </c>
      <c r="C23" s="5" t="s">
        <v>56</v>
      </c>
      <c r="D23" s="12" t="s">
        <v>62</v>
      </c>
    </row>
    <row r="24" customFormat="false" ht="15" hidden="false" customHeight="false" outlineLevel="0" collapsed="false">
      <c r="A24" s="5" t="s">
        <v>63</v>
      </c>
      <c r="B24" s="18" t="n">
        <v>4</v>
      </c>
      <c r="C24" s="5" t="s">
        <v>31</v>
      </c>
      <c r="D24" s="12" t="s">
        <v>64</v>
      </c>
    </row>
    <row r="25" customFormat="false" ht="15" hidden="false" customHeight="false" outlineLevel="0" collapsed="false">
      <c r="A25" s="5" t="s">
        <v>65</v>
      </c>
      <c r="B25" s="16" t="n">
        <v>0.1</v>
      </c>
      <c r="C25" s="5" t="s">
        <v>51</v>
      </c>
      <c r="D25" s="12" t="s">
        <v>66</v>
      </c>
    </row>
    <row r="26" customFormat="false" ht="26.85" hidden="false" customHeight="false" outlineLevel="0" collapsed="false">
      <c r="A26" s="5" t="s">
        <v>67</v>
      </c>
      <c r="B26" s="11" t="n">
        <v>400</v>
      </c>
      <c r="C26" s="5" t="s">
        <v>68</v>
      </c>
      <c r="D26" s="12" t="s">
        <v>69</v>
      </c>
    </row>
    <row r="27" customFormat="false" ht="26.85" hidden="false" customHeight="false" outlineLevel="0" collapsed="false">
      <c r="A27" s="5" t="inlineStr">
        <is>
          <t>Starting garage slots</t>
        </is>
      </c>
      <c r="B27" s="11" t="n">
        <v>6</v>
      </c>
      <c r="C27" s="5" t="inlineStr">
        <is>
          <t>vehicles</t>
        </is>
      </c>
      <c r="D27" s="12" t="inlineStr">
        <is>
          <t>Game design value. Counts the free Sathi Plus, so the player can buy 5 more. A purchase with no free slot is rejected. Slot expansion comes with terminals (Milestone 5). Keeps cheap vehicles from compounding without limit during Turbo Start.</t>
        </is>
      </c>
    </row>
    <row r="28" customFormat="false" ht="26.85" hidden="false" customHeight="false" outlineLevel="0" collapsed="false">
      <c r="A28" s="5" t="inlineStr">
        <is>
          <t>Resale share of price</t>
        </is>
      </c>
      <c r="B28" s="16" t="n">
        <v>0.6</v>
      </c>
      <c r="C28" s="5" t="inlineStr">
        <is>
          <t>fraction</t>
        </is>
      </c>
      <c r="D28" s="12" t="inlineStr">
        <is>
          <t>Game design value. A vehicle sells for this share of its price, so buying and selling straight away loses the rest. A vehicle on the road cannot be sold: unassign it, let the trip finish, then sell.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70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0" t="s">
        <v>71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45" hidden="false" customHeight="true" outlineLevel="0" collapsed="false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</row>
    <row r="5" customFormat="false" ht="15" hidden="false" customHeight="false" outlineLevel="0" collapsed="false">
      <c r="A5" s="5" t="s">
        <v>78</v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</row>
    <row r="6" customFormat="false" ht="15" hidden="false" customHeight="false" outlineLevel="0" collapsed="false">
      <c r="A6" s="5" t="s">
        <v>79</v>
      </c>
      <c r="B6" s="11" t="n">
        <v>0</v>
      </c>
      <c r="C6" s="11" t="n">
        <v>1200</v>
      </c>
      <c r="D6" s="11" t="n">
        <v>600</v>
      </c>
      <c r="E6" s="11" t="n">
        <v>180</v>
      </c>
      <c r="F6" s="11" t="n">
        <v>600</v>
      </c>
    </row>
    <row r="7" customFormat="false" ht="15" hidden="false" customHeight="false" outlineLevel="0" collapsed="false">
      <c r="A7" s="5" t="s">
        <v>80</v>
      </c>
      <c r="B7" s="11" t="n">
        <v>0</v>
      </c>
      <c r="C7" s="11" t="n">
        <v>1600</v>
      </c>
      <c r="D7" s="11" t="n">
        <v>1000</v>
      </c>
      <c r="E7" s="11" t="n">
        <v>500</v>
      </c>
      <c r="F7" s="11" t="n">
        <v>740</v>
      </c>
    </row>
    <row r="8" customFormat="false" ht="15" hidden="false" customHeight="false" outlineLevel="0" collapsed="false">
      <c r="A8" s="5" t="s">
        <v>81</v>
      </c>
      <c r="B8" s="11" t="n">
        <v>0</v>
      </c>
      <c r="C8" s="11" t="n">
        <v>2800</v>
      </c>
      <c r="D8" s="11" t="n">
        <v>1600</v>
      </c>
      <c r="E8" s="11" t="n">
        <v>800</v>
      </c>
      <c r="F8" s="11" t="n">
        <v>1460</v>
      </c>
    </row>
    <row r="9" customFormat="false" ht="15" hidden="false" customHeight="false" outlineLevel="0" collapsed="false">
      <c r="A9" s="5" t="s">
        <v>82</v>
      </c>
      <c r="B9" s="11" t="n">
        <v>0</v>
      </c>
      <c r="C9" s="11" t="n">
        <v>5500</v>
      </c>
      <c r="D9" s="11" t="n">
        <v>2000</v>
      </c>
      <c r="E9" s="11" t="n">
        <v>1000</v>
      </c>
      <c r="F9" s="11" t="n">
        <v>2000</v>
      </c>
    </row>
    <row r="10" customFormat="false" ht="15" hidden="false" customHeight="false" outlineLevel="0" collapsed="false">
      <c r="A10" s="5" t="s">
        <v>83</v>
      </c>
      <c r="B10" s="11" t="n">
        <v>0</v>
      </c>
      <c r="C10" s="11" t="n">
        <v>6000</v>
      </c>
      <c r="D10" s="11" t="n">
        <v>3000</v>
      </c>
      <c r="E10" s="11" t="n">
        <v>2500</v>
      </c>
      <c r="F10" s="11" t="n">
        <v>2800</v>
      </c>
    </row>
    <row r="11" customFormat="false" ht="15" hidden="false" customHeight="false" outlineLevel="0" collapsed="false">
      <c r="A11" s="5" t="s">
        <v>84</v>
      </c>
      <c r="B11" s="11" t="n">
        <v>0</v>
      </c>
      <c r="C11" s="11" t="n">
        <v>7500</v>
      </c>
      <c r="D11" s="11" t="n">
        <v>4000</v>
      </c>
      <c r="E11" s="11" t="n">
        <v>3000</v>
      </c>
      <c r="F11" s="11" t="n">
        <v>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85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45" hidden="false" customHeight="true" outlineLevel="0" collapsed="false">
      <c r="A3" s="8" t="s">
        <v>86</v>
      </c>
      <c r="B3" s="8" t="s">
        <v>87</v>
      </c>
      <c r="C3" s="8" t="s">
        <v>88</v>
      </c>
      <c r="D3" s="8" t="s">
        <v>89</v>
      </c>
    </row>
    <row r="4" customFormat="false" ht="15" hidden="false" customHeight="false" outlineLevel="0" collapsed="false">
      <c r="A4" s="5" t="s">
        <v>90</v>
      </c>
      <c r="B4" s="19" t="n">
        <v>1.2</v>
      </c>
      <c r="C4" s="5" t="s">
        <v>91</v>
      </c>
      <c r="D4" s="5" t="s">
        <v>92</v>
      </c>
    </row>
    <row r="5" customFormat="false" ht="15" hidden="false" customHeight="false" outlineLevel="0" collapsed="false">
      <c r="A5" s="5" t="s">
        <v>93</v>
      </c>
      <c r="B5" s="19" t="n">
        <v>1.5</v>
      </c>
      <c r="C5" s="5" t="s">
        <v>94</v>
      </c>
      <c r="D5" s="5" t="s">
        <v>95</v>
      </c>
    </row>
    <row r="6" customFormat="false" ht="15" hidden="false" customHeight="false" outlineLevel="0" collapsed="false">
      <c r="A6" s="5" t="s">
        <v>96</v>
      </c>
      <c r="B6" s="19" t="n">
        <v>1</v>
      </c>
      <c r="C6" s="5" t="s">
        <v>97</v>
      </c>
      <c r="D6" s="5" t="s">
        <v>98</v>
      </c>
    </row>
    <row r="7" customFormat="false" ht="15" hidden="false" customHeight="false" outlineLevel="0" collapsed="false">
      <c r="A7" s="5" t="s">
        <v>99</v>
      </c>
      <c r="B7" s="19" t="n">
        <v>1.2</v>
      </c>
      <c r="C7" s="5" t="s">
        <v>100</v>
      </c>
      <c r="D7" s="5" t="s">
        <v>101</v>
      </c>
    </row>
    <row r="8" customFormat="false" ht="15" hidden="false" customHeight="false" outlineLevel="0" collapsed="false">
      <c r="A8" s="5" t="s">
        <v>102</v>
      </c>
      <c r="B8" s="19" t="n">
        <v>1.4</v>
      </c>
      <c r="C8" s="5" t="s">
        <v>103</v>
      </c>
      <c r="D8" s="5" t="s">
        <v>104</v>
      </c>
    </row>
    <row r="9" customFormat="false" ht="15" hidden="false" customHeight="false" outlineLevel="0" collapsed="false">
      <c r="A9" s="5" t="s">
        <v>105</v>
      </c>
      <c r="B9" s="19" t="n">
        <v>1</v>
      </c>
      <c r="C9" s="5" t="s">
        <v>106</v>
      </c>
      <c r="D9" s="5" t="s">
        <v>107</v>
      </c>
    </row>
    <row r="10" customFormat="false" ht="15" hidden="false" customHeight="false" outlineLevel="0" collapsed="false">
      <c r="A10" s="5" t="s">
        <v>108</v>
      </c>
      <c r="B10" s="19" t="n">
        <v>0.9</v>
      </c>
      <c r="C10" s="5" t="s">
        <v>109</v>
      </c>
      <c r="D10" s="5" t="s">
        <v>110</v>
      </c>
    </row>
    <row r="11" customFormat="false" ht="15" hidden="false" customHeight="false" outlineLevel="0" collapsed="false">
      <c r="A11" s="5" t="s">
        <v>111</v>
      </c>
      <c r="B11" s="19" t="n">
        <v>0.9</v>
      </c>
      <c r="C11" s="5" t="s">
        <v>112</v>
      </c>
      <c r="D11" s="5" t="s">
        <v>110</v>
      </c>
    </row>
    <row r="12" customFormat="false" ht="15" hidden="false" customHeight="false" outlineLevel="0" collapsed="false">
      <c r="A12" s="5" t="s">
        <v>113</v>
      </c>
      <c r="B12" s="19" t="n">
        <v>2.2</v>
      </c>
      <c r="C12" s="5" t="s">
        <v>114</v>
      </c>
      <c r="D12" s="5" t="s">
        <v>115</v>
      </c>
    </row>
    <row r="13" customFormat="false" ht="15" hidden="false" customHeight="false" outlineLevel="0" collapsed="false">
      <c r="A13" s="5" t="s">
        <v>116</v>
      </c>
      <c r="B13" s="19" t="n">
        <v>1.2</v>
      </c>
      <c r="C13" s="5" t="s">
        <v>117</v>
      </c>
      <c r="D13" s="5" t="s">
        <v>118</v>
      </c>
    </row>
    <row r="14" customFormat="false" ht="15" hidden="false" customHeight="false" outlineLevel="0" collapsed="false">
      <c r="A14" s="5" t="s">
        <v>119</v>
      </c>
      <c r="B14" s="19" t="n">
        <v>1.2</v>
      </c>
      <c r="C14" s="5" t="s">
        <v>120</v>
      </c>
      <c r="D14" s="5" t="s">
        <v>121</v>
      </c>
    </row>
    <row r="15" customFormat="false" ht="15" hidden="false" customHeight="false" outlineLevel="0" collapsed="false">
      <c r="A15" s="5" t="s">
        <v>122</v>
      </c>
      <c r="B15" s="19" t="n">
        <v>1.2</v>
      </c>
      <c r="C15" s="5" t="s">
        <v>123</v>
      </c>
      <c r="D15" s="5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8"/>
    <col collapsed="false" customWidth="true" hidden="false" outlineLevel="0" max="20" min="19" style="0" width="11"/>
    <col collapsed="false" customWidth="true" hidden="false" outlineLevel="0" max="21" min="21" style="0" width="30"/>
    <col collapsed="false" customWidth="true" hidden="false" outlineLevel="0" max="22" min="22" style="0" width="30"/>
  </cols>
  <sheetData>
    <row r="1" customFormat="false" ht="17.35" hidden="false" customHeight="false" outlineLevel="0" collapsed="false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10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45" hidden="false" customHeight="true" outlineLevel="0" collapsed="false">
      <c r="A4" s="8" t="s">
        <v>127</v>
      </c>
      <c r="B4" s="8" t="s">
        <v>128</v>
      </c>
      <c r="C4" s="8" t="s">
        <v>129</v>
      </c>
      <c r="D4" s="8" t="s">
        <v>130</v>
      </c>
      <c r="E4" s="8" t="s">
        <v>131</v>
      </c>
      <c r="F4" s="8" t="s">
        <v>132</v>
      </c>
      <c r="G4" s="8" t="s">
        <v>133</v>
      </c>
      <c r="H4" s="8" t="s">
        <v>134</v>
      </c>
      <c r="I4" s="8" t="s">
        <v>135</v>
      </c>
      <c r="J4" s="8" t="s">
        <v>136</v>
      </c>
      <c r="K4" s="8" t="s">
        <v>137</v>
      </c>
      <c r="L4" s="8" t="s">
        <v>138</v>
      </c>
      <c r="M4" s="8" t="s">
        <v>139</v>
      </c>
      <c r="N4" s="8" t="s">
        <v>140</v>
      </c>
      <c r="O4" s="8" t="s">
        <v>141</v>
      </c>
      <c r="P4" s="8" t="s">
        <v>72</v>
      </c>
      <c r="Q4" s="8" t="s">
        <v>142</v>
      </c>
      <c r="R4" s="8" t="inlineStr">
        <is>
          <t>Unlock: operating permit id (blank = none, see Operating Permits sheet)</t>
        </is>
      </c>
      <c r="S4" s="8" t="s">
        <v>144</v>
      </c>
      <c r="T4" s="8" t="s">
        <v>145</v>
      </c>
      <c r="U4" s="8" t="inlineStr">
        <is>
          <t>Allowed routes (comma separated, no spaces, blank = any route)</t>
        </is>
      </c>
      <c r="V4" s="8" t="inlineStr">
        <is>
          <t>Unlock: deliveries needed (0 = none)</t>
        </is>
      </c>
    </row>
    <row r="5" customFormat="false" ht="15" hidden="false" customHeight="false" outlineLevel="0" collapsed="false">
      <c r="A5" s="5" t="n">
        <v>1</v>
      </c>
      <c r="B5" s="5" t="s">
        <v>146</v>
      </c>
      <c r="C5" s="5" t="s">
        <v>147</v>
      </c>
      <c r="D5" s="20" t="n">
        <v>0.2</v>
      </c>
      <c r="E5" s="21" t="n">
        <f aca="false">D5*100000</f>
        <v>20000</v>
      </c>
      <c r="F5" s="13" t="n">
        <v>0.3</v>
      </c>
      <c r="G5" s="13" t="n">
        <v>0.5</v>
      </c>
      <c r="H5" s="22" t="n">
        <v>8</v>
      </c>
      <c r="I5" s="23" t="n">
        <v>0</v>
      </c>
      <c r="J5" s="24" t="n">
        <v>0</v>
      </c>
      <c r="K5" s="25" t="n">
        <f aca="false">IF(I5&gt;0,Settings!$B$5/I5,J5)</f>
        <v>0</v>
      </c>
      <c r="L5" s="20" t="n">
        <v>0.2</v>
      </c>
      <c r="M5" s="11" t="n">
        <v>50</v>
      </c>
      <c r="N5" s="23" t="n">
        <v>0.3</v>
      </c>
      <c r="O5" s="19" t="n">
        <v>2.5</v>
      </c>
      <c r="P5" s="22" t="s">
        <v>78</v>
      </c>
      <c r="Q5" s="22" t="s">
        <v>148</v>
      </c>
      <c r="R5" s="22"/>
      <c r="S5" s="26" t="n">
        <v>0.5</v>
      </c>
      <c r="T5" s="26" t="n">
        <v>5</v>
      </c>
      <c r="U5" s="22" t="inlineStr">
        <is>
          <t>M01,M02</t>
        </is>
      </c>
      <c r="V5" s="11" t="n">
        <v>0</v>
      </c>
    </row>
    <row r="6" customFormat="false" ht="15" hidden="false" customHeight="false" outlineLevel="0" collapsed="false">
      <c r="A6" s="5" t="n">
        <v>2</v>
      </c>
      <c r="B6" s="5" t="s">
        <v>150</v>
      </c>
      <c r="C6" s="5" t="s">
        <v>151</v>
      </c>
      <c r="D6" s="20" t="n">
        <v>1.5</v>
      </c>
      <c r="E6" s="21" t="n">
        <f aca="false">D6*100000</f>
        <v>150000</v>
      </c>
      <c r="F6" s="13" t="n">
        <v>0.5</v>
      </c>
      <c r="G6" s="13" t="n">
        <v>0.8</v>
      </c>
      <c r="H6" s="22" t="n">
        <v>20</v>
      </c>
      <c r="I6" s="23" t="n">
        <v>0</v>
      </c>
      <c r="J6" s="24" t="n">
        <v>1.5</v>
      </c>
      <c r="K6" s="25" t="n">
        <f aca="false">IF(I6&gt;0,Settings!$B$5/I6,J6)</f>
        <v>1.5</v>
      </c>
      <c r="L6" s="20" t="n">
        <v>0.5</v>
      </c>
      <c r="M6" s="11" t="n">
        <v>60</v>
      </c>
      <c r="N6" s="23" t="n">
        <v>0.3</v>
      </c>
      <c r="O6" s="19" t="n">
        <v>2.7</v>
      </c>
      <c r="P6" s="22" t="s">
        <v>78</v>
      </c>
      <c r="Q6" s="22" t="s">
        <v>148</v>
      </c>
      <c r="R6" s="22"/>
      <c r="S6" s="26" t="n">
        <v>1</v>
      </c>
      <c r="T6" s="26" t="n">
        <v>10</v>
      </c>
      <c r="U6" s="22"/>
      <c r="V6" s="11" t="n">
        <v>0</v>
      </c>
    </row>
    <row r="7" customFormat="false" ht="15" hidden="false" customHeight="false" outlineLevel="0" collapsed="false">
      <c r="A7" s="5" t="n">
        <v>3</v>
      </c>
      <c r="B7" s="5" t="s">
        <v>153</v>
      </c>
      <c r="C7" s="5" t="s">
        <v>154</v>
      </c>
      <c r="D7" s="20" t="n">
        <v>10</v>
      </c>
      <c r="E7" s="21" t="n">
        <f aca="false">D7*100000</f>
        <v>1000000</v>
      </c>
      <c r="F7" s="13" t="n">
        <v>0.8</v>
      </c>
      <c r="G7" s="13" t="n">
        <v>1.5</v>
      </c>
      <c r="H7" s="22" t="n">
        <v>45</v>
      </c>
      <c r="I7" s="23" t="n">
        <v>15</v>
      </c>
      <c r="J7" s="24" t="n">
        <v>0</v>
      </c>
      <c r="K7" s="25" t="n">
        <f aca="false">IF(I7&gt;0,Settings!$B$5/I7,J7)</f>
        <v>9</v>
      </c>
      <c r="L7" s="20" t="n">
        <v>1.5</v>
      </c>
      <c r="M7" s="11" t="n">
        <v>70</v>
      </c>
      <c r="N7" s="23" t="n">
        <v>0.5</v>
      </c>
      <c r="O7" s="19" t="n">
        <v>3</v>
      </c>
      <c r="P7" s="22" t="s">
        <v>79</v>
      </c>
      <c r="Q7" s="22" t="s">
        <v>155</v>
      </c>
      <c r="R7" s="22"/>
      <c r="S7" s="26" t="n">
        <v>5</v>
      </c>
      <c r="T7" s="26" t="n">
        <v>30</v>
      </c>
      <c r="U7" s="22"/>
      <c r="V7" s="11" t="n">
        <v>5</v>
      </c>
    </row>
    <row r="8" customFormat="false" ht="15" hidden="false" customHeight="false" outlineLevel="0" collapsed="false">
      <c r="A8" s="5" t="n">
        <v>4</v>
      </c>
      <c r="B8" s="5" t="s">
        <v>157</v>
      </c>
      <c r="C8" s="5" t="s">
        <v>158</v>
      </c>
      <c r="D8" s="20" t="n">
        <v>13</v>
      </c>
      <c r="E8" s="21" t="n">
        <f aca="false">D8*100000</f>
        <v>1300000</v>
      </c>
      <c r="F8" s="13" t="n">
        <v>1.5</v>
      </c>
      <c r="G8" s="13" t="n">
        <v>3</v>
      </c>
      <c r="H8" s="22" t="n">
        <v>50</v>
      </c>
      <c r="I8" s="23" t="n">
        <v>12</v>
      </c>
      <c r="J8" s="24" t="n">
        <v>0</v>
      </c>
      <c r="K8" s="25" t="n">
        <f aca="false">IF(I8&gt;0,Settings!$B$5/I8,J8)</f>
        <v>11.25</v>
      </c>
      <c r="L8" s="20" t="n">
        <v>2</v>
      </c>
      <c r="M8" s="11" t="n">
        <v>80</v>
      </c>
      <c r="N8" s="23" t="n">
        <v>0.5</v>
      </c>
      <c r="O8" s="19" t="n">
        <v>2.8</v>
      </c>
      <c r="P8" s="22" t="s">
        <v>79</v>
      </c>
      <c r="Q8" s="22" t="s">
        <v>155</v>
      </c>
      <c r="R8" s="22"/>
      <c r="S8" s="26" t="n">
        <v>5</v>
      </c>
      <c r="T8" s="26" t="n">
        <v>30</v>
      </c>
      <c r="U8" s="22"/>
      <c r="V8" s="11" t="n">
        <v>0</v>
      </c>
    </row>
    <row r="9" customFormat="false" ht="15" hidden="false" customHeight="false" outlineLevel="0" collapsed="false">
      <c r="A9" s="5" t="n">
        <v>5</v>
      </c>
      <c r="B9" s="5" t="s">
        <v>160</v>
      </c>
      <c r="C9" s="5" t="s">
        <v>161</v>
      </c>
      <c r="D9" s="20" t="n">
        <v>25</v>
      </c>
      <c r="E9" s="21" t="n">
        <f aca="false">D9*100000</f>
        <v>2500000</v>
      </c>
      <c r="F9" s="13" t="n">
        <v>4</v>
      </c>
      <c r="G9" s="13" t="n">
        <v>7</v>
      </c>
      <c r="H9" s="22" t="n">
        <v>45</v>
      </c>
      <c r="I9" s="23" t="n">
        <v>8</v>
      </c>
      <c r="J9" s="24" t="n">
        <v>0</v>
      </c>
      <c r="K9" s="25" t="n">
        <f aca="false">IF(I9&gt;0,Settings!$B$5/I9,J9)</f>
        <v>16.875</v>
      </c>
      <c r="L9" s="20" t="n">
        <v>3</v>
      </c>
      <c r="M9" s="11" t="n">
        <v>110</v>
      </c>
      <c r="N9" s="23" t="n">
        <v>1</v>
      </c>
      <c r="O9" s="19" t="n">
        <v>1.6</v>
      </c>
      <c r="P9" s="22" t="s">
        <v>80</v>
      </c>
      <c r="Q9" s="22" t="s">
        <v>155</v>
      </c>
      <c r="R9" s="22" t="inlineStr">
        <is>
          <t>light</t>
        </is>
      </c>
      <c r="S9" s="26" t="n">
        <v>10</v>
      </c>
      <c r="T9" s="26" t="n">
        <v>40</v>
      </c>
      <c r="U9" s="22"/>
      <c r="V9" s="11" t="n">
        <v>0</v>
      </c>
    </row>
    <row r="10" customFormat="false" ht="15" hidden="false" customHeight="false" outlineLevel="0" collapsed="false">
      <c r="A10" s="5" t="n">
        <v>6</v>
      </c>
      <c r="B10" s="5" t="s">
        <v>163</v>
      </c>
      <c r="C10" s="5" t="s">
        <v>164</v>
      </c>
      <c r="D10" s="20" t="n">
        <v>32</v>
      </c>
      <c r="E10" s="21" t="n">
        <f aca="false">D10*100000</f>
        <v>3200000</v>
      </c>
      <c r="F10" s="13" t="n">
        <v>10</v>
      </c>
      <c r="G10" s="13" t="n">
        <v>22</v>
      </c>
      <c r="H10" s="22" t="n">
        <v>40</v>
      </c>
      <c r="I10" s="23" t="n">
        <v>4.5</v>
      </c>
      <c r="J10" s="24" t="n">
        <v>0</v>
      </c>
      <c r="K10" s="25" t="n">
        <f aca="false">IF(I10&gt;0,Settings!$B$5/I10,J10)</f>
        <v>30</v>
      </c>
      <c r="L10" s="20" t="n">
        <v>4</v>
      </c>
      <c r="M10" s="11" t="n">
        <v>160</v>
      </c>
      <c r="N10" s="23" t="n">
        <v>2</v>
      </c>
      <c r="O10" s="19" t="n">
        <v>1</v>
      </c>
      <c r="P10" s="22" t="s">
        <v>81</v>
      </c>
      <c r="Q10" s="22" t="s">
        <v>155</v>
      </c>
      <c r="R10" s="22" t="inlineStr">
        <is>
          <t>medium</t>
        </is>
      </c>
      <c r="S10" s="26" t="n">
        <v>10</v>
      </c>
      <c r="T10" s="26" t="n">
        <v>40</v>
      </c>
      <c r="U10" s="22"/>
      <c r="V10" s="11" t="n">
        <v>0</v>
      </c>
    </row>
    <row r="11" customFormat="false" ht="15" hidden="false" customHeight="false" outlineLevel="0" collapsed="false">
      <c r="A11" s="5" t="n">
        <v>7</v>
      </c>
      <c r="B11" s="5" t="s">
        <v>166</v>
      </c>
      <c r="C11" s="5" t="s">
        <v>167</v>
      </c>
      <c r="D11" s="20" t="n">
        <v>35</v>
      </c>
      <c r="E11" s="21" t="n">
        <f aca="false">D11*100000</f>
        <v>3500000</v>
      </c>
      <c r="F11" s="13" t="n">
        <v>10</v>
      </c>
      <c r="G11" s="13" t="n">
        <v>18</v>
      </c>
      <c r="H11" s="22" t="n">
        <v>40</v>
      </c>
      <c r="I11" s="23" t="n">
        <v>4.5</v>
      </c>
      <c r="J11" s="24" t="n">
        <v>0</v>
      </c>
      <c r="K11" s="25" t="n">
        <f aca="false">IF(I11&gt;0,Settings!$B$5/I11,J11)</f>
        <v>30</v>
      </c>
      <c r="L11" s="20" t="n">
        <v>4.5</v>
      </c>
      <c r="M11" s="11" t="n">
        <v>160</v>
      </c>
      <c r="N11" s="23" t="n">
        <v>2</v>
      </c>
      <c r="O11" s="19" t="n">
        <v>1.05</v>
      </c>
      <c r="P11" s="22" t="s">
        <v>81</v>
      </c>
      <c r="Q11" s="22" t="s">
        <v>155</v>
      </c>
      <c r="R11" s="22" t="inlineStr">
        <is>
          <t>medium</t>
        </is>
      </c>
      <c r="S11" s="26" t="n">
        <v>10</v>
      </c>
      <c r="T11" s="26" t="n">
        <v>40</v>
      </c>
      <c r="U11" s="22"/>
      <c r="V11" s="11" t="n">
        <v>0</v>
      </c>
    </row>
    <row r="12" customFormat="false" ht="15" hidden="false" customHeight="false" outlineLevel="0" collapsed="false">
      <c r="A12" s="5" t="n">
        <v>8</v>
      </c>
      <c r="B12" s="5" t="s">
        <v>169</v>
      </c>
      <c r="C12" s="5" t="s">
        <v>170</v>
      </c>
      <c r="D12" s="20" t="n">
        <v>45</v>
      </c>
      <c r="E12" s="21" t="n">
        <f aca="false">D12*100000</f>
        <v>4500000</v>
      </c>
      <c r="F12" s="13" t="n">
        <v>6</v>
      </c>
      <c r="G12" s="13" t="n">
        <v>7</v>
      </c>
      <c r="H12" s="22" t="n">
        <v>40</v>
      </c>
      <c r="I12" s="23" t="n">
        <v>3.5</v>
      </c>
      <c r="J12" s="24" t="n">
        <v>0</v>
      </c>
      <c r="K12" s="25" t="n">
        <f aca="false">IF(I12&gt;0,Settings!$B$5/I12,J12)</f>
        <v>38.5714285714286</v>
      </c>
      <c r="L12" s="20" t="n">
        <v>6</v>
      </c>
      <c r="M12" s="11" t="n">
        <v>180</v>
      </c>
      <c r="N12" s="23" t="n">
        <v>2</v>
      </c>
      <c r="O12" s="19" t="n">
        <v>1</v>
      </c>
      <c r="P12" s="22" t="s">
        <v>81</v>
      </c>
      <c r="Q12" s="22" t="s">
        <v>155</v>
      </c>
      <c r="R12" s="22" t="inlineStr">
        <is>
          <t>coldchain</t>
        </is>
      </c>
      <c r="S12" s="26" t="n">
        <v>10</v>
      </c>
      <c r="T12" s="26" t="n">
        <v>40</v>
      </c>
      <c r="U12" s="22"/>
      <c r="V12" s="11" t="n">
        <v>0</v>
      </c>
    </row>
    <row r="13" customFormat="false" ht="15" hidden="false" customHeight="false" outlineLevel="0" collapsed="false">
      <c r="A13" s="5" t="n">
        <v>9</v>
      </c>
      <c r="B13" s="5" t="s">
        <v>172</v>
      </c>
      <c r="C13" s="5" t="s">
        <v>173</v>
      </c>
      <c r="D13" s="20" t="n">
        <v>60</v>
      </c>
      <c r="E13" s="21" t="n">
        <f aca="false">D13*100000</f>
        <v>6000000</v>
      </c>
      <c r="F13" s="13" t="n">
        <v>18</v>
      </c>
      <c r="G13" s="13" t="n">
        <v>30</v>
      </c>
      <c r="H13" s="22" t="n">
        <v>30</v>
      </c>
      <c r="I13" s="23" t="n">
        <v>3</v>
      </c>
      <c r="J13" s="24" t="n">
        <v>0</v>
      </c>
      <c r="K13" s="25" t="n">
        <f aca="false">IF(I13&gt;0,Settings!$B$5/I13,J13)</f>
        <v>45</v>
      </c>
      <c r="L13" s="20" t="n">
        <v>7</v>
      </c>
      <c r="M13" s="11" t="n">
        <v>170</v>
      </c>
      <c r="N13" s="23" t="n">
        <v>1.5</v>
      </c>
      <c r="O13" s="19" t="n">
        <v>1.2</v>
      </c>
      <c r="P13" s="22" t="s">
        <v>82</v>
      </c>
      <c r="Q13" s="22" t="s">
        <v>155</v>
      </c>
      <c r="R13" s="22" t="inlineStr">
        <is>
          <t>heavy</t>
        </is>
      </c>
      <c r="S13" s="26" t="n">
        <v>20</v>
      </c>
      <c r="T13" s="26" t="n">
        <v>80</v>
      </c>
      <c r="U13" s="22"/>
      <c r="V13" s="11" t="n">
        <v>0</v>
      </c>
    </row>
    <row r="14" customFormat="false" ht="15" hidden="false" customHeight="false" outlineLevel="0" collapsed="false">
      <c r="A14" s="5" t="n">
        <v>10</v>
      </c>
      <c r="B14" s="5" t="s">
        <v>175</v>
      </c>
      <c r="C14" s="5" t="s">
        <v>176</v>
      </c>
      <c r="D14" s="20" t="n">
        <v>50</v>
      </c>
      <c r="E14" s="21" t="n">
        <f aca="false">D14*100000</f>
        <v>5000000</v>
      </c>
      <c r="F14" s="13" t="n">
        <v>12.75</v>
      </c>
      <c r="G14" s="13" t="n">
        <v>12.75</v>
      </c>
      <c r="H14" s="22" t="n">
        <v>35</v>
      </c>
      <c r="I14" s="23" t="n">
        <v>3.5</v>
      </c>
      <c r="J14" s="24" t="n">
        <v>0</v>
      </c>
      <c r="K14" s="25" t="n">
        <f aca="false">IF(I14&gt;0,Settings!$B$5/I14,J14)</f>
        <v>38.5714285714286</v>
      </c>
      <c r="L14" s="20" t="n">
        <v>6</v>
      </c>
      <c r="M14" s="11" t="n">
        <v>200</v>
      </c>
      <c r="N14" s="23" t="n">
        <v>1.5</v>
      </c>
      <c r="O14" s="19" t="n">
        <v>1</v>
      </c>
      <c r="P14" s="22" t="s">
        <v>82</v>
      </c>
      <c r="Q14" s="22" t="s">
        <v>155</v>
      </c>
      <c r="R14" s="22" t="inlineStr">
        <is>
          <t>hazmat</t>
        </is>
      </c>
      <c r="S14" s="26" t="n">
        <v>20</v>
      </c>
      <c r="T14" s="26" t="n">
        <v>80</v>
      </c>
      <c r="U14" s="22"/>
      <c r="V14" s="11" t="n">
        <v>0</v>
      </c>
    </row>
    <row r="15" customFormat="false" ht="15" hidden="false" customHeight="false" outlineLevel="0" collapsed="false">
      <c r="A15" s="5" t="n">
        <v>11</v>
      </c>
      <c r="B15" s="5" t="s">
        <v>178</v>
      </c>
      <c r="C15" s="5" t="s">
        <v>179</v>
      </c>
      <c r="D15" s="20" t="n">
        <v>65</v>
      </c>
      <c r="E15" s="21" t="n">
        <f aca="false">D15*100000</f>
        <v>6500000</v>
      </c>
      <c r="F15" s="13" t="n">
        <v>28</v>
      </c>
      <c r="G15" s="13" t="n">
        <v>35</v>
      </c>
      <c r="H15" s="22" t="n">
        <v>35</v>
      </c>
      <c r="I15" s="23" t="n">
        <v>2.5</v>
      </c>
      <c r="J15" s="24" t="n">
        <v>0</v>
      </c>
      <c r="K15" s="25" t="n">
        <f aca="false">IF(I15&gt;0,Settings!$B$5/I15,J15)</f>
        <v>54</v>
      </c>
      <c r="L15" s="20" t="n">
        <v>9</v>
      </c>
      <c r="M15" s="11" t="n">
        <v>220</v>
      </c>
      <c r="N15" s="23" t="n">
        <v>2.5</v>
      </c>
      <c r="O15" s="19" t="n">
        <v>0.6</v>
      </c>
      <c r="P15" s="22" t="s">
        <v>83</v>
      </c>
      <c r="Q15" s="22" t="s">
        <v>155</v>
      </c>
      <c r="R15" s="22" t="inlineStr">
        <is>
          <t>heavy</t>
        </is>
      </c>
      <c r="S15" s="26" t="n">
        <v>20</v>
      </c>
      <c r="T15" s="26" t="n">
        <v>80</v>
      </c>
      <c r="U15" s="22"/>
      <c r="V15" s="11" t="n">
        <v>0</v>
      </c>
    </row>
    <row r="16" customFormat="false" ht="15" hidden="false" customHeight="false" outlineLevel="0" collapsed="false">
      <c r="A16" s="5" t="n">
        <v>12</v>
      </c>
      <c r="B16" s="5" t="s">
        <v>181</v>
      </c>
      <c r="C16" s="5" t="s">
        <v>182</v>
      </c>
      <c r="D16" s="20" t="n">
        <v>80</v>
      </c>
      <c r="E16" s="21" t="n">
        <f aca="false">D16*100000</f>
        <v>8000000</v>
      </c>
      <c r="F16" s="13" t="n">
        <v>40</v>
      </c>
      <c r="G16" s="13" t="n">
        <v>40</v>
      </c>
      <c r="H16" s="22" t="n">
        <v>25</v>
      </c>
      <c r="I16" s="23" t="n">
        <v>2</v>
      </c>
      <c r="J16" s="24" t="n">
        <v>0</v>
      </c>
      <c r="K16" s="25" t="n">
        <f aca="false">IF(I16&gt;0,Settings!$B$5/I16,J16)</f>
        <v>67.5</v>
      </c>
      <c r="L16" s="20" t="n">
        <v>12</v>
      </c>
      <c r="M16" s="11" t="n">
        <v>260</v>
      </c>
      <c r="N16" s="23" t="n">
        <v>3</v>
      </c>
      <c r="O16" s="19" t="n">
        <v>0.6</v>
      </c>
      <c r="P16" s="22" t="s">
        <v>84</v>
      </c>
      <c r="Q16" s="22" t="s">
        <v>155</v>
      </c>
      <c r="R16" s="22" t="inlineStr">
        <is>
          <t>heavy</t>
        </is>
      </c>
      <c r="S16" s="26" t="n">
        <v>20</v>
      </c>
      <c r="T16" s="26" t="n">
        <v>80</v>
      </c>
      <c r="U16" s="22"/>
      <c r="V16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0" t="s">
        <v>185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45" hidden="false" customHeight="true" outlineLevel="0" collapsed="false">
      <c r="A4" s="8" t="s">
        <v>186</v>
      </c>
      <c r="B4" s="8" t="s">
        <v>187</v>
      </c>
      <c r="C4" s="8" t="s">
        <v>188</v>
      </c>
      <c r="D4" s="8" t="s">
        <v>189</v>
      </c>
      <c r="E4" s="8" t="s">
        <v>190</v>
      </c>
      <c r="F4" s="8" t="s">
        <v>191</v>
      </c>
      <c r="G4" s="8" t="s">
        <v>192</v>
      </c>
      <c r="H4" s="8" t="s">
        <v>193</v>
      </c>
      <c r="I4" s="8" t="s">
        <v>194</v>
      </c>
      <c r="J4" s="8" t="s">
        <v>195</v>
      </c>
    </row>
    <row r="5" customFormat="false" ht="15" hidden="false" customHeight="false" outlineLevel="0" collapsed="false">
      <c r="A5" s="5" t="s">
        <v>196</v>
      </c>
      <c r="B5" s="5" t="s">
        <v>197</v>
      </c>
      <c r="C5" s="5" t="s">
        <v>198</v>
      </c>
      <c r="D5" s="11" t="n">
        <v>3</v>
      </c>
      <c r="E5" s="22" t="s">
        <v>199</v>
      </c>
      <c r="F5" s="22" t="s">
        <v>73</v>
      </c>
      <c r="G5" s="22" t="n">
        <v>0</v>
      </c>
      <c r="H5" s="23" t="n">
        <v>0</v>
      </c>
      <c r="I5" s="11" t="n">
        <v>3</v>
      </c>
      <c r="J5" s="5" t="s">
        <v>200</v>
      </c>
    </row>
    <row r="6" customFormat="false" ht="15" hidden="false" customHeight="false" outlineLevel="0" collapsed="false">
      <c r="A6" s="5" t="s">
        <v>201</v>
      </c>
      <c r="B6" s="5" t="s">
        <v>202</v>
      </c>
      <c r="C6" s="5" t="s">
        <v>203</v>
      </c>
      <c r="D6" s="11" t="n">
        <v>8</v>
      </c>
      <c r="E6" s="22" t="s">
        <v>199</v>
      </c>
      <c r="F6" s="22" t="s">
        <v>73</v>
      </c>
      <c r="G6" s="22" t="n">
        <v>0</v>
      </c>
      <c r="H6" s="23" t="n">
        <v>0.2</v>
      </c>
      <c r="I6" s="11" t="n">
        <v>8</v>
      </c>
      <c r="J6" s="5" t="s">
        <v>204</v>
      </c>
    </row>
    <row r="7" customFormat="false" ht="15" hidden="false" customHeight="false" outlineLevel="0" collapsed="false">
      <c r="A7" s="5" t="s">
        <v>205</v>
      </c>
      <c r="B7" s="5" t="s">
        <v>206</v>
      </c>
      <c r="C7" s="5" t="s">
        <v>207</v>
      </c>
      <c r="D7" s="11" t="n">
        <v>15</v>
      </c>
      <c r="E7" s="22" t="s">
        <v>199</v>
      </c>
      <c r="F7" s="22" t="s">
        <v>73</v>
      </c>
      <c r="G7" s="22" t="n">
        <v>0</v>
      </c>
      <c r="H7" s="23" t="n">
        <v>0.3</v>
      </c>
      <c r="I7" s="11" t="n">
        <v>60</v>
      </c>
      <c r="J7" s="5" t="s">
        <v>208</v>
      </c>
    </row>
    <row r="8" customFormat="false" ht="15" hidden="false" customHeight="false" outlineLevel="0" collapsed="false">
      <c r="A8" s="5" t="s">
        <v>209</v>
      </c>
      <c r="B8" s="5" t="s">
        <v>202</v>
      </c>
      <c r="C8" s="5" t="s">
        <v>210</v>
      </c>
      <c r="D8" s="11" t="n">
        <v>20</v>
      </c>
      <c r="E8" s="22" t="s">
        <v>199</v>
      </c>
      <c r="F8" s="22" t="s">
        <v>73</v>
      </c>
      <c r="G8" s="22" t="n">
        <v>0</v>
      </c>
      <c r="H8" s="23" t="n">
        <v>0.3</v>
      </c>
      <c r="I8" s="11" t="n">
        <v>50</v>
      </c>
      <c r="J8" s="5"/>
    </row>
    <row r="9" customFormat="false" ht="15" hidden="false" customHeight="false" outlineLevel="0" collapsed="false">
      <c r="A9" s="5" t="s">
        <v>211</v>
      </c>
      <c r="B9" s="5" t="s">
        <v>202</v>
      </c>
      <c r="C9" s="5" t="s">
        <v>212</v>
      </c>
      <c r="D9" s="11" t="n">
        <v>35</v>
      </c>
      <c r="E9" s="22" t="s">
        <v>199</v>
      </c>
      <c r="F9" s="22" t="s">
        <v>73</v>
      </c>
      <c r="G9" s="22" t="n">
        <v>0</v>
      </c>
      <c r="H9" s="23" t="n">
        <v>0.5</v>
      </c>
      <c r="I9" s="11" t="n">
        <v>80</v>
      </c>
      <c r="J9" s="5" t="s">
        <v>213</v>
      </c>
    </row>
    <row r="10" customFormat="false" ht="15" hidden="false" customHeight="false" outlineLevel="0" collapsed="false">
      <c r="A10" s="5" t="s">
        <v>214</v>
      </c>
      <c r="B10" s="5" t="s">
        <v>202</v>
      </c>
      <c r="C10" s="5" t="s">
        <v>215</v>
      </c>
      <c r="D10" s="11" t="n">
        <v>100</v>
      </c>
      <c r="E10" s="22" t="s">
        <v>216</v>
      </c>
      <c r="F10" s="22" t="s">
        <v>76</v>
      </c>
      <c r="G10" s="22" t="n">
        <v>1</v>
      </c>
      <c r="H10" s="23" t="n">
        <v>0.5</v>
      </c>
      <c r="I10" s="11" t="n">
        <v>120</v>
      </c>
      <c r="J10" s="5"/>
    </row>
    <row r="11" customFormat="false" ht="15" hidden="false" customHeight="false" outlineLevel="0" collapsed="false">
      <c r="A11" s="5" t="s">
        <v>217</v>
      </c>
      <c r="B11" s="5" t="s">
        <v>202</v>
      </c>
      <c r="C11" s="5" t="s">
        <v>218</v>
      </c>
      <c r="D11" s="11" t="n">
        <v>250</v>
      </c>
      <c r="E11" s="22" t="s">
        <v>216</v>
      </c>
      <c r="F11" s="22" t="s">
        <v>76</v>
      </c>
      <c r="G11" s="22" t="n">
        <v>2</v>
      </c>
      <c r="H11" s="23" t="n">
        <v>1</v>
      </c>
      <c r="I11" s="11" t="n">
        <v>400</v>
      </c>
      <c r="J11" s="5" t="s">
        <v>219</v>
      </c>
    </row>
    <row r="12" customFormat="false" ht="15" hidden="false" customHeight="false" outlineLevel="0" collapsed="false">
      <c r="A12" s="5" t="s">
        <v>220</v>
      </c>
      <c r="B12" s="5" t="s">
        <v>212</v>
      </c>
      <c r="C12" s="5" t="s">
        <v>218</v>
      </c>
      <c r="D12" s="11" t="n">
        <v>280</v>
      </c>
      <c r="E12" s="22" t="s">
        <v>216</v>
      </c>
      <c r="F12" s="22" t="s">
        <v>76</v>
      </c>
      <c r="G12" s="22" t="n">
        <v>2</v>
      </c>
      <c r="H12" s="23" t="n">
        <v>1.5</v>
      </c>
      <c r="I12" s="11" t="n">
        <v>300</v>
      </c>
      <c r="J12" s="5" t="s">
        <v>221</v>
      </c>
    </row>
    <row r="13" customFormat="false" ht="15" hidden="false" customHeight="false" outlineLevel="0" collapsed="false">
      <c r="A13" s="5" t="s">
        <v>222</v>
      </c>
      <c r="B13" s="5" t="s">
        <v>202</v>
      </c>
      <c r="C13" s="5" t="s">
        <v>223</v>
      </c>
      <c r="D13" s="11" t="n">
        <v>240</v>
      </c>
      <c r="E13" s="22" t="s">
        <v>216</v>
      </c>
      <c r="F13" s="22" t="s">
        <v>73</v>
      </c>
      <c r="G13" s="22" t="n">
        <v>0</v>
      </c>
      <c r="H13" s="23" t="n">
        <v>0.5</v>
      </c>
      <c r="I13" s="11" t="n">
        <v>100</v>
      </c>
      <c r="J13" s="5"/>
    </row>
    <row r="14" customFormat="false" ht="15" hidden="false" customHeight="false" outlineLevel="0" collapsed="false">
      <c r="A14" s="5" t="s">
        <v>224</v>
      </c>
      <c r="B14" s="5" t="s">
        <v>202</v>
      </c>
      <c r="C14" s="5" t="s">
        <v>225</v>
      </c>
      <c r="D14" s="11" t="n">
        <v>200</v>
      </c>
      <c r="E14" s="22" t="s">
        <v>216</v>
      </c>
      <c r="F14" s="22" t="s">
        <v>75</v>
      </c>
      <c r="G14" s="22" t="n">
        <v>1</v>
      </c>
      <c r="H14" s="23" t="n">
        <v>0.5</v>
      </c>
      <c r="I14" s="11" t="n">
        <v>150</v>
      </c>
      <c r="J14" s="5" t="s">
        <v>226</v>
      </c>
    </row>
    <row r="15" customFormat="false" ht="15" hidden="false" customHeight="false" outlineLevel="0" collapsed="false">
      <c r="A15" s="5" t="s">
        <v>227</v>
      </c>
      <c r="B15" s="5" t="s">
        <v>202</v>
      </c>
      <c r="C15" s="5" t="s">
        <v>228</v>
      </c>
      <c r="D15" s="11" t="n">
        <v>300</v>
      </c>
      <c r="E15" s="22" t="s">
        <v>216</v>
      </c>
      <c r="F15" s="22" t="s">
        <v>75</v>
      </c>
      <c r="G15" s="22" t="n">
        <v>1</v>
      </c>
      <c r="H15" s="23" t="n">
        <v>0.5</v>
      </c>
      <c r="I15" s="11" t="n">
        <v>100</v>
      </c>
      <c r="J15" s="5"/>
    </row>
    <row r="16" customFormat="false" ht="15" hidden="false" customHeight="false" outlineLevel="0" collapsed="false">
      <c r="A16" s="5" t="s">
        <v>229</v>
      </c>
      <c r="B16" s="5" t="s">
        <v>202</v>
      </c>
      <c r="C16" s="5" t="s">
        <v>230</v>
      </c>
      <c r="D16" s="11" t="n">
        <v>220</v>
      </c>
      <c r="E16" s="22" t="s">
        <v>216</v>
      </c>
      <c r="F16" s="22" t="s">
        <v>74</v>
      </c>
      <c r="G16" s="22" t="n">
        <v>0</v>
      </c>
      <c r="H16" s="23" t="n">
        <v>0.5</v>
      </c>
      <c r="I16" s="11" t="n">
        <v>120</v>
      </c>
      <c r="J16" s="5" t="s">
        <v>231</v>
      </c>
    </row>
    <row r="17" customFormat="false" ht="15" hidden="false" customHeight="false" outlineLevel="0" collapsed="false">
      <c r="A17" s="5" t="s">
        <v>232</v>
      </c>
      <c r="B17" s="5" t="s">
        <v>202</v>
      </c>
      <c r="C17" s="5" t="s">
        <v>233</v>
      </c>
      <c r="D17" s="11" t="n">
        <v>270</v>
      </c>
      <c r="E17" s="22" t="s">
        <v>216</v>
      </c>
      <c r="F17" s="22" t="s">
        <v>77</v>
      </c>
      <c r="G17" s="22" t="n">
        <v>0</v>
      </c>
      <c r="H17" s="23" t="n">
        <v>6</v>
      </c>
      <c r="I17" s="11" t="n">
        <v>120</v>
      </c>
      <c r="J17" s="5" t="s">
        <v>234</v>
      </c>
    </row>
    <row r="18" customFormat="false" ht="15" hidden="false" customHeight="false" outlineLevel="0" collapsed="false">
      <c r="A18" s="5" t="s">
        <v>235</v>
      </c>
      <c r="B18" s="5" t="s">
        <v>202</v>
      </c>
      <c r="C18" s="5" t="s">
        <v>236</v>
      </c>
      <c r="D18" s="11" t="n">
        <v>200</v>
      </c>
      <c r="E18" s="22" t="s">
        <v>216</v>
      </c>
      <c r="F18" s="22" t="s">
        <v>74</v>
      </c>
      <c r="G18" s="22" t="n">
        <v>0</v>
      </c>
      <c r="H18" s="23" t="n">
        <v>2</v>
      </c>
      <c r="I18" s="11" t="n">
        <v>150</v>
      </c>
      <c r="J18" s="5" t="s">
        <v>237</v>
      </c>
    </row>
    <row r="19" customFormat="false" ht="15" hidden="false" customHeight="false" outlineLevel="0" collapsed="false">
      <c r="A19" s="5" t="s">
        <v>238</v>
      </c>
      <c r="B19" s="5" t="s">
        <v>218</v>
      </c>
      <c r="C19" s="5" t="s">
        <v>215</v>
      </c>
      <c r="D19" s="11" t="n">
        <v>150</v>
      </c>
      <c r="E19" s="22" t="s">
        <v>216</v>
      </c>
      <c r="F19" s="22" t="s">
        <v>73</v>
      </c>
      <c r="G19" s="22" t="n">
        <v>1</v>
      </c>
      <c r="H19" s="23" t="n">
        <v>0.5</v>
      </c>
      <c r="I19" s="11" t="n">
        <v>100</v>
      </c>
      <c r="J19" s="5"/>
    </row>
    <row r="20" customFormat="false" ht="15" hidden="false" customHeight="false" outlineLevel="0" collapsed="false">
      <c r="A20" s="5" t="s">
        <v>239</v>
      </c>
      <c r="B20" s="5" t="s">
        <v>210</v>
      </c>
      <c r="C20" s="5" t="s">
        <v>240</v>
      </c>
      <c r="D20" s="11" t="n">
        <v>25</v>
      </c>
      <c r="E20" s="22" t="s">
        <v>199</v>
      </c>
      <c r="F20" s="22" t="s">
        <v>73</v>
      </c>
      <c r="G20" s="22" t="n">
        <v>0</v>
      </c>
      <c r="H20" s="23" t="n">
        <v>0.5</v>
      </c>
      <c r="I20" s="11" t="n">
        <v>200</v>
      </c>
      <c r="J20" s="5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10" min="8" style="0" width="9"/>
    <col collapsed="false" customWidth="true" hidden="false" outlineLevel="0" max="11" min="11" style="0" width="8"/>
    <col collapsed="false" customWidth="true" hidden="false" outlineLevel="0" max="13" min="12" style="0" width="9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21" min="19" style="0" width="11"/>
    <col collapsed="false" customWidth="true" hidden="false" outlineLevel="0" max="23" min="22" style="0" width="12"/>
    <col collapsed="false" customWidth="true" hidden="false" outlineLevel="0" max="24" min="24" style="0" width="8"/>
    <col collapsed="false" customWidth="true" hidden="false" outlineLevel="0" max="25" min="25" style="0" width="10"/>
    <col collapsed="false" customWidth="true" hidden="false" outlineLevel="0" max="26" min="26" style="0" width="13"/>
    <col collapsed="false" customWidth="true" hidden="false" outlineLevel="0" max="28" min="27" style="0" width="10"/>
    <col collapsed="false" customWidth="true" hidden="false" outlineLevel="0" max="29" min="29" style="0" width="11"/>
    <col collapsed="false" customWidth="true" hidden="false" outlineLevel="0" max="30" min="30" style="0" width="9"/>
    <col collapsed="false" customWidth="true" hidden="false" outlineLevel="0" max="31" min="31" style="0" width="11"/>
    <col collapsed="false" customWidth="true" hidden="false" outlineLevel="0" max="32" min="32" style="0" width="24"/>
  </cols>
  <sheetData>
    <row r="1" customFormat="false" ht="17.35" hidden="false" customHeight="false" outlineLevel="0" collapsed="false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10" t="s">
        <v>243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45" hidden="false" customHeight="true" outlineLevel="0" collapsed="false">
      <c r="A4" s="8" t="s">
        <v>244</v>
      </c>
      <c r="B4" s="8" t="s">
        <v>127</v>
      </c>
      <c r="C4" s="8" t="s">
        <v>186</v>
      </c>
      <c r="D4" s="8" t="s">
        <v>86</v>
      </c>
      <c r="E4" s="8" t="s">
        <v>245</v>
      </c>
      <c r="F4" s="8" t="s">
        <v>246</v>
      </c>
      <c r="G4" s="8" t="s">
        <v>131</v>
      </c>
      <c r="H4" s="8" t="s">
        <v>132</v>
      </c>
      <c r="I4" s="8" t="s">
        <v>247</v>
      </c>
      <c r="J4" s="8" t="s">
        <v>248</v>
      </c>
      <c r="K4" s="8" t="s">
        <v>190</v>
      </c>
      <c r="L4" s="8" t="s">
        <v>249</v>
      </c>
      <c r="M4" s="8" t="s">
        <v>250</v>
      </c>
      <c r="N4" s="8" t="s">
        <v>251</v>
      </c>
      <c r="O4" s="8" t="s">
        <v>252</v>
      </c>
      <c r="P4" s="8" t="s">
        <v>253</v>
      </c>
      <c r="Q4" s="8" t="s">
        <v>254</v>
      </c>
      <c r="R4" s="8" t="s">
        <v>255</v>
      </c>
      <c r="S4" s="8" t="s">
        <v>256</v>
      </c>
      <c r="T4" s="8" t="s">
        <v>257</v>
      </c>
      <c r="U4" s="8" t="s">
        <v>258</v>
      </c>
      <c r="V4" s="8" t="s">
        <v>259</v>
      </c>
      <c r="W4" s="8" t="s">
        <v>14</v>
      </c>
      <c r="X4" s="8" t="s">
        <v>260</v>
      </c>
      <c r="Y4" s="8" t="s">
        <v>261</v>
      </c>
      <c r="Z4" s="8" t="s">
        <v>262</v>
      </c>
      <c r="AA4" s="8" t="s">
        <v>11</v>
      </c>
      <c r="AB4" s="8" t="s">
        <v>12</v>
      </c>
      <c r="AC4" s="8" t="s">
        <v>13</v>
      </c>
      <c r="AD4" s="8" t="s">
        <v>263</v>
      </c>
      <c r="AE4" s="8" t="s">
        <v>264</v>
      </c>
      <c r="AF4" s="8" t="s">
        <v>265</v>
      </c>
    </row>
    <row r="5" customFormat="false" ht="15" hidden="false" customHeight="false" outlineLevel="0" collapsed="false">
      <c r="A5" s="5" t="s">
        <v>266</v>
      </c>
      <c r="B5" s="22" t="n">
        <v>1</v>
      </c>
      <c r="C5" s="22" t="s">
        <v>196</v>
      </c>
      <c r="D5" s="22" t="s">
        <v>90</v>
      </c>
      <c r="E5" s="23" t="n">
        <v>0</v>
      </c>
      <c r="F5" s="6" t="str">
        <f aca="false">INDEX(Vehicles!$B$5:$B$16,MATCH($B5,Vehicles!$A$5:$A$16,0))</f>
        <v>Sonar Van</v>
      </c>
      <c r="G5" s="7" t="n">
        <f aca="false">INDEX(Vehicles!$E$5:$E$16,MATCH($B5,Vehicles!$A$5:$A$16,0))</f>
        <v>20000</v>
      </c>
      <c r="H5" s="27" t="n">
        <f aca="false">INDEX(Vehicles!$F$5:$F$16,MATCH($B5,Vehicles!$A$5:$A$16,0))</f>
        <v>0.3</v>
      </c>
      <c r="I5" s="28" t="n">
        <f aca="false">H5+MAX(0,MIN(E5,INDEX(Vehicles!$G$5:$G$16,MATCH($B5,Vehicles!$A$5:$A$16,0))-H5))</f>
        <v>0.3</v>
      </c>
      <c r="J5" s="29" t="n">
        <f aca="false">(I5-H5)/H5</f>
        <v>0</v>
      </c>
      <c r="K5" s="6" t="str">
        <f aca="false">INDEX(Routes!$E$5:$E$20,MATCH($C5,Routes!$A$5:$A$20,0))</f>
        <v>Local</v>
      </c>
      <c r="L5" s="7" t="n">
        <f aca="false">INDEX(Routes!$D$5:$D$20,MATCH($C5,Routes!$A$5:$A$20,0))</f>
        <v>3</v>
      </c>
      <c r="M5" s="21" t="n">
        <f aca="false">IF(K5="Local",2*L5,L5)</f>
        <v>6</v>
      </c>
      <c r="N5" s="21" t="n">
        <f aca="false">I5*(Settings!$B$6+Settings!$B$7*L5)*INDEX(Cargo!$B$4:$B$15,MATCH($D5,Cargo!$A$4:$A$15,0))*INDEX(Vehicles!$O$5:$O$16,MATCH($B5,Vehicles!$A$5:$A$16,0))*Settings!$B$8</f>
        <v>439.425</v>
      </c>
      <c r="O5" s="21" t="n">
        <f aca="false">M5*INDEX(Vehicles!$K$5:$K$16,MATCH($B5,Vehicles!$A$5:$A$16,0))*(1+Settings!$B$18*J5)</f>
        <v>0</v>
      </c>
      <c r="P5" s="21" t="n">
        <f aca="false">INDEX(Tolls!$B$5:$F$11,MATCH(INDEX(Vehicles!$P$5:$P$16,MATCH($B5,Vehicles!$A$5:$A$16,0)),Tolls!$A$5:$A$11,0),MATCH(INDEX(Routes!$F$5:$F$20,MATCH($C5,Routes!$A$5:$A$20,0)),Tolls!$B$4:$F$4,0))*IF(K5="Local",2,1)</f>
        <v>0</v>
      </c>
      <c r="Q5" s="28" t="n">
        <f aca="false">M5/INDEX(Vehicles!$H$5:$H$16,MATCH($B5,Vehicles!$A$5:$A$16,0))+INDEX(Vehicles!$N$5:$N$16,MATCH($B5,Vehicles!$A$5:$A$16,0))+INDEX(Routes!$H$5:$H$20,MATCH($C5,Routes!$A$5:$A$20,0))</f>
        <v>1.05</v>
      </c>
      <c r="R5" s="21" t="n">
        <f aca="false">Q5*INDEX(Vehicles!$M$5:$M$16,MATCH($B5,Vehicles!$A$5:$A$16,0))</f>
        <v>52.5</v>
      </c>
      <c r="S5" s="21" t="n">
        <f aca="false">M5*INDEX(Vehicles!$L$5:$L$16,MATCH($B5,Vehicles!$A$5:$A$16,0))*(1+Settings!$B$19*J5)</f>
        <v>1.2</v>
      </c>
      <c r="T5" s="21" t="n">
        <f aca="false">IF(I5&gt;H5,INDEX(Routes!$G$5:$G$20,MATCH($C5,Routes!$A$5:$A$20,0))*Settings!$B$20*(Settings!$B$21+Settings!$B$22*(I5-H5)),0)</f>
        <v>0</v>
      </c>
      <c r="U5" s="21" t="n">
        <f aca="false">G5*Settings!$B$23*M5/100*(1+Settings!$B$24*J5)*Settings!$B$25</f>
        <v>0.24</v>
      </c>
      <c r="V5" s="21" t="n">
        <f aca="false">SUM(O5:P5)+SUM(R5:U5)</f>
        <v>53.94</v>
      </c>
      <c r="W5" s="21" t="n">
        <f aca="false">N5-V5</f>
        <v>385.485</v>
      </c>
      <c r="X5" s="29" t="n">
        <f aca="false">IF(N5&gt;0,W5/N5,0)</f>
        <v>0.877248677248677</v>
      </c>
      <c r="Y5" s="30" t="n">
        <f aca="false">Q5*60/Settings!$B$9</f>
        <v>1.05</v>
      </c>
      <c r="Z5" s="21" t="n">
        <f aca="false">IF(Y5&gt;0,W5/Y5*60,0)</f>
        <v>22027.7142857143</v>
      </c>
      <c r="AA5" s="30" t="n">
        <f aca="false">IF(Z5&gt;0,G5/Z5,"Never")</f>
        <v>0.907947131535598</v>
      </c>
      <c r="AB5" s="5" t="str">
        <f aca="false">INDEX(Vehicles!$S$5:$S$16,MATCH($B5,Vehicles!$A$5:$A$16,0))&amp;" to "&amp;INDEX(Vehicles!$T$5:$T$16,MATCH($B5,Vehicles!$A$5:$A$16,0))</f>
        <v>0.5 to 5</v>
      </c>
      <c r="AC5" s="5" t="str">
        <f aca="false">IF(NOT(ISNUMBER(AA5)),"Loses money",IF(AA5&lt;INDEX(Vehicles!$S$5:$S$16,MATCH($B5,Vehicles!$A$5:$A$16,0)),"Too fast",IF(AA5&gt;INDEX(Vehicles!$T$5:$T$16,MATCH($B5,Vehicles!$A$5:$A$16,0)),"Too slow","OK")))</f>
        <v>OK</v>
      </c>
      <c r="AD5" s="30" t="n">
        <f aca="false">24/Q5</f>
        <v>22.8571428571429</v>
      </c>
      <c r="AE5" s="30" t="n">
        <f aca="false">INDEX(Routes!$I$5:$I$20,MATCH($C5,Routes!$A$5:$A$20,0))/(I5*AD5)</f>
        <v>0.4375</v>
      </c>
      <c r="AF5" s="5" t="str">
        <f aca="false">IF(AND(INDEX(Vehicles!$Q$5:$Q$16,MATCH($B5,Vehicles!$A$5:$A$16,0))="No",K5="Line"),"Not allowed on highway",IF(AND(K5="Line",L5&gt;Settings!$B$26),"Line haul too long",IF(ISERROR(SEARCH(","&amp;B5&amp;",",","&amp;INDEX(Cargo!$C$4:$C$15,MATCH($D5,Cargo!$A$4:$A$15,0))&amp;",")),"Cargo not allowed on this vehicle","")))</f>
        <v/>
      </c>
    </row>
    <row r="6" customFormat="false" ht="15" hidden="false" customHeight="false" outlineLevel="0" collapsed="false">
      <c r="A6" s="5" t="s">
        <v>267</v>
      </c>
      <c r="B6" s="22" t="n">
        <v>2</v>
      </c>
      <c r="C6" s="22" t="s">
        <v>201</v>
      </c>
      <c r="D6" s="22" t="s">
        <v>93</v>
      </c>
      <c r="E6" s="23" t="n">
        <v>0</v>
      </c>
      <c r="F6" s="6" t="str">
        <f aca="false">INDEX(Vehicles!$B$5:$B$16,MATCH($B6,Vehicles!$A$5:$A$16,0))</f>
        <v>Bijli Cargo</v>
      </c>
      <c r="G6" s="7" t="n">
        <f aca="false">INDEX(Vehicles!$E$5:$E$16,MATCH($B6,Vehicles!$A$5:$A$16,0))</f>
        <v>150000</v>
      </c>
      <c r="H6" s="27" t="n">
        <f aca="false">INDEX(Vehicles!$F$5:$F$16,MATCH($B6,Vehicles!$A$5:$A$16,0))</f>
        <v>0.5</v>
      </c>
      <c r="I6" s="28" t="n">
        <f aca="false">H6+MAX(0,MIN(E6,INDEX(Vehicles!$G$5:$G$16,MATCH($B6,Vehicles!$A$5:$A$16,0))-H6))</f>
        <v>0.5</v>
      </c>
      <c r="J6" s="29" t="n">
        <f aca="false">(I6-H6)/H6</f>
        <v>0</v>
      </c>
      <c r="K6" s="6" t="str">
        <f aca="false">INDEX(Routes!$E$5:$E$20,MATCH($C6,Routes!$A$5:$A$20,0))</f>
        <v>Local</v>
      </c>
      <c r="L6" s="7" t="n">
        <f aca="false">INDEX(Routes!$D$5:$D$20,MATCH($C6,Routes!$A$5:$A$20,0))</f>
        <v>8</v>
      </c>
      <c r="M6" s="21" t="n">
        <f aca="false">IF(K6="Local",2*L6,L6)</f>
        <v>16</v>
      </c>
      <c r="N6" s="21" t="n">
        <f aca="false">I6*(Settings!$B$6+Settings!$B$7*L6)*INDEX(Cargo!$B$4:$B$15,MATCH($D6,Cargo!$A$4:$A$15,0))*INDEX(Vehicles!$O$5:$O$16,MATCH($B6,Vehicles!$A$5:$A$16,0))*Settings!$B$8</f>
        <v>1117.8</v>
      </c>
      <c r="O6" s="21" t="n">
        <f aca="false">M6*INDEX(Vehicles!$K$5:$K$16,MATCH($B6,Vehicles!$A$5:$A$16,0))*(1+Settings!$B$18*J6)</f>
        <v>24</v>
      </c>
      <c r="P6" s="21" t="n">
        <f aca="false">INDEX(Tolls!$B$5:$F$11,MATCH(INDEX(Vehicles!$P$5:$P$16,MATCH($B6,Vehicles!$A$5:$A$16,0)),Tolls!$A$5:$A$11,0),MATCH(INDEX(Routes!$F$5:$F$20,MATCH($C6,Routes!$A$5:$A$20,0)),Tolls!$B$4:$F$4,0))*IF(K6="Local",2,1)</f>
        <v>0</v>
      </c>
      <c r="Q6" s="28" t="n">
        <f aca="false">M6/INDEX(Vehicles!$H$5:$H$16,MATCH($B6,Vehicles!$A$5:$A$16,0))+INDEX(Vehicles!$N$5:$N$16,MATCH($B6,Vehicles!$A$5:$A$16,0))+INDEX(Routes!$H$5:$H$20,MATCH($C6,Routes!$A$5:$A$20,0))</f>
        <v>1.3</v>
      </c>
      <c r="R6" s="21" t="n">
        <f aca="false">Q6*INDEX(Vehicles!$M$5:$M$16,MATCH($B6,Vehicles!$A$5:$A$16,0))</f>
        <v>78</v>
      </c>
      <c r="S6" s="21" t="n">
        <f aca="false">M6*INDEX(Vehicles!$L$5:$L$16,MATCH($B6,Vehicles!$A$5:$A$16,0))*(1+Settings!$B$19*J6)</f>
        <v>8</v>
      </c>
      <c r="T6" s="21" t="n">
        <f aca="false">IF(I6&gt;H6,INDEX(Routes!$G$5:$G$20,MATCH($C6,Routes!$A$5:$A$20,0))*Settings!$B$20*(Settings!$B$21+Settings!$B$22*(I6-H6)),0)</f>
        <v>0</v>
      </c>
      <c r="U6" s="21" t="n">
        <f aca="false">G6*Settings!$B$23*M6/100*(1+Settings!$B$24*J6)*Settings!$B$25</f>
        <v>4.8</v>
      </c>
      <c r="V6" s="21" t="n">
        <f aca="false">SUM(O6:P6)+SUM(R6:U6)</f>
        <v>114.8</v>
      </c>
      <c r="W6" s="21" t="n">
        <f aca="false">N6-V6</f>
        <v>1003</v>
      </c>
      <c r="X6" s="29" t="n">
        <f aca="false">IF(N6&gt;0,W6/N6,0)</f>
        <v>0.897298264448023</v>
      </c>
      <c r="Y6" s="30" t="n">
        <f aca="false">Q6*60/Settings!$B$9</f>
        <v>1.3</v>
      </c>
      <c r="Z6" s="21" t="n">
        <f aca="false">IF(Y6&gt;0,W6/Y6*60,0)</f>
        <v>46292.3076923077</v>
      </c>
      <c r="AA6" s="30" t="n">
        <f aca="false">IF(Z6&gt;0,G6/Z6,"Never")</f>
        <v>3.24027916251246</v>
      </c>
      <c r="AB6" s="5" t="str">
        <f aca="false">INDEX(Vehicles!$S$5:$S$16,MATCH($B6,Vehicles!$A$5:$A$16,0))&amp;" to "&amp;INDEX(Vehicles!$T$5:$T$16,MATCH($B6,Vehicles!$A$5:$A$16,0))</f>
        <v>1 to 10</v>
      </c>
      <c r="AC6" s="5" t="str">
        <f aca="false">IF(NOT(ISNUMBER(AA6)),"Loses money",IF(AA6&lt;INDEX(Vehicles!$S$5:$S$16,MATCH($B6,Vehicles!$A$5:$A$16,0)),"Too fast",IF(AA6&gt;INDEX(Vehicles!$T$5:$T$16,MATCH($B6,Vehicles!$A$5:$A$16,0)),"Too slow","OK")))</f>
        <v>OK</v>
      </c>
      <c r="AD6" s="30" t="n">
        <f aca="false">24/Q6</f>
        <v>18.4615384615385</v>
      </c>
      <c r="AE6" s="30" t="n">
        <f aca="false">INDEX(Routes!$I$5:$I$20,MATCH($C6,Routes!$A$5:$A$20,0))/(I6*AD6)</f>
        <v>0.866666666666667</v>
      </c>
      <c r="AF6" s="5" t="str">
        <f aca="false">IF(AND(INDEX(Vehicles!$Q$5:$Q$16,MATCH($B6,Vehicles!$A$5:$A$16,0))="No",K6="Line"),"Not allowed on highway",IF(AND(K6="Line",L6&gt;Settings!$B$26),"Line haul too long",IF(ISERROR(SEARCH(","&amp;B6&amp;",",","&amp;INDEX(Cargo!$C$4:$C$15,MATCH($D6,Cargo!$A$4:$A$15,0))&amp;",")),"Cargo not allowed on this vehicle","")))</f>
        <v/>
      </c>
    </row>
    <row r="7" customFormat="false" ht="15" hidden="false" customHeight="false" outlineLevel="0" collapsed="false">
      <c r="A7" s="5" t="s">
        <v>268</v>
      </c>
      <c r="B7" s="22" t="n">
        <v>3</v>
      </c>
      <c r="C7" s="22" t="s">
        <v>205</v>
      </c>
      <c r="D7" s="22" t="s">
        <v>93</v>
      </c>
      <c r="E7" s="23" t="n">
        <v>0</v>
      </c>
      <c r="F7" s="6" t="str">
        <f aca="false">INDEX(Vehicles!$B$5:$B$16,MATCH($B7,Vehicles!$A$5:$A$16,0))</f>
        <v>Tuntuni Mini</v>
      </c>
      <c r="G7" s="7" t="n">
        <f aca="false">INDEX(Vehicles!$E$5:$E$16,MATCH($B7,Vehicles!$A$5:$A$16,0))</f>
        <v>1000000</v>
      </c>
      <c r="H7" s="27" t="n">
        <f aca="false">INDEX(Vehicles!$F$5:$F$16,MATCH($B7,Vehicles!$A$5:$A$16,0))</f>
        <v>0.8</v>
      </c>
      <c r="I7" s="28" t="n">
        <f aca="false">H7+MAX(0,MIN(E7,INDEX(Vehicles!$G$5:$G$16,MATCH($B7,Vehicles!$A$5:$A$16,0))-H7))</f>
        <v>0.8</v>
      </c>
      <c r="J7" s="29" t="n">
        <f aca="false">(I7-H7)/H7</f>
        <v>0</v>
      </c>
      <c r="K7" s="6" t="str">
        <f aca="false">INDEX(Routes!$E$5:$E$20,MATCH($C7,Routes!$A$5:$A$20,0))</f>
        <v>Local</v>
      </c>
      <c r="L7" s="7" t="n">
        <f aca="false">INDEX(Routes!$D$5:$D$20,MATCH($C7,Routes!$A$5:$A$20,0))</f>
        <v>15</v>
      </c>
      <c r="M7" s="21" t="n">
        <f aca="false">IF(K7="Local",2*L7,L7)</f>
        <v>30</v>
      </c>
      <c r="N7" s="21" t="n">
        <f aca="false">I7*(Settings!$B$6+Settings!$B$7*L7)*INDEX(Cargo!$B$4:$B$15,MATCH($D7,Cargo!$A$4:$A$15,0))*INDEX(Vehicles!$O$5:$O$16,MATCH($B7,Vehicles!$A$5:$A$16,0))*Settings!$B$8</f>
        <v>2308.5</v>
      </c>
      <c r="O7" s="21" t="n">
        <f aca="false">M7*INDEX(Vehicles!$K$5:$K$16,MATCH($B7,Vehicles!$A$5:$A$16,0))*(1+Settings!$B$18*J7)</f>
        <v>270</v>
      </c>
      <c r="P7" s="21" t="n">
        <f aca="false">INDEX(Tolls!$B$5:$F$11,MATCH(INDEX(Vehicles!$P$5:$P$16,MATCH($B7,Vehicles!$A$5:$A$16,0)),Tolls!$A$5:$A$11,0),MATCH(INDEX(Routes!$F$5:$F$20,MATCH($C7,Routes!$A$5:$A$20,0)),Tolls!$B$4:$F$4,0))*IF(K7="Local",2,1)</f>
        <v>0</v>
      </c>
      <c r="Q7" s="28" t="n">
        <f aca="false">M7/INDEX(Vehicles!$H$5:$H$16,MATCH($B7,Vehicles!$A$5:$A$16,0))+INDEX(Vehicles!$N$5:$N$16,MATCH($B7,Vehicles!$A$5:$A$16,0))+INDEX(Routes!$H$5:$H$20,MATCH($C7,Routes!$A$5:$A$20,0))</f>
        <v>1.46666666666667</v>
      </c>
      <c r="R7" s="21" t="n">
        <f aca="false">Q7*INDEX(Vehicles!$M$5:$M$16,MATCH($B7,Vehicles!$A$5:$A$16,0))</f>
        <v>102.666666666667</v>
      </c>
      <c r="S7" s="21" t="n">
        <f aca="false">M7*INDEX(Vehicles!$L$5:$L$16,MATCH($B7,Vehicles!$A$5:$A$16,0))*(1+Settings!$B$19*J7)</f>
        <v>45</v>
      </c>
      <c r="T7" s="21" t="n">
        <f aca="false">IF(I7&gt;H7,INDEX(Routes!$G$5:$G$20,MATCH($C7,Routes!$A$5:$A$20,0))*Settings!$B$20*(Settings!$B$21+Settings!$B$22*(I7-H7)),0)</f>
        <v>0</v>
      </c>
      <c r="U7" s="21" t="n">
        <f aca="false">G7*Settings!$B$23*M7/100*(1+Settings!$B$24*J7)*Settings!$B$25</f>
        <v>60</v>
      </c>
      <c r="V7" s="21" t="n">
        <f aca="false">SUM(O7:P7)+SUM(R7:U7)</f>
        <v>477.666666666667</v>
      </c>
      <c r="W7" s="21" t="n">
        <f aca="false">N7-V7</f>
        <v>1830.83333333333</v>
      </c>
      <c r="X7" s="29" t="n">
        <f aca="false">IF(N7&gt;0,W7/N7,0)</f>
        <v>0.793083531874955</v>
      </c>
      <c r="Y7" s="30" t="n">
        <f aca="false">Q7*60/Settings!$B$9</f>
        <v>1.46666666666667</v>
      </c>
      <c r="Z7" s="21" t="n">
        <f aca="false">IF(Y7&gt;0,W7/Y7*60,0)</f>
        <v>74897.7272727273</v>
      </c>
      <c r="AA7" s="30" t="n">
        <f aca="false">IF(Z7&gt;0,G7/Z7,"Never")</f>
        <v>13.3515399787589</v>
      </c>
      <c r="AB7" s="5" t="str">
        <f aca="false">INDEX(Vehicles!$S$5:$S$16,MATCH($B7,Vehicles!$A$5:$A$16,0))&amp;" to "&amp;INDEX(Vehicles!$T$5:$T$16,MATCH($B7,Vehicles!$A$5:$A$16,0))</f>
        <v>5 to 30</v>
      </c>
      <c r="AC7" s="5" t="str">
        <f aca="false">IF(NOT(ISNUMBER(AA7)),"Loses money",IF(AA7&lt;INDEX(Vehicles!$S$5:$S$16,MATCH($B7,Vehicles!$A$5:$A$16,0)),"Too fast",IF(AA7&gt;INDEX(Vehicles!$T$5:$T$16,MATCH($B7,Vehicles!$A$5:$A$16,0)),"Too slow","OK")))</f>
        <v>OK</v>
      </c>
      <c r="AD7" s="30" t="n">
        <f aca="false">24/Q7</f>
        <v>16.3636363636364</v>
      </c>
      <c r="AE7" s="30" t="n">
        <f aca="false">INDEX(Routes!$I$5:$I$20,MATCH($C7,Routes!$A$5:$A$20,0))/(I7*AD7)</f>
        <v>4.58333333333333</v>
      </c>
      <c r="AF7" s="5" t="str">
        <f aca="false">IF(AND(INDEX(Vehicles!$Q$5:$Q$16,MATCH($B7,Vehicles!$A$5:$A$16,0))="No",K7="Line"),"Not allowed on highway",IF(AND(K7="Line",L7&gt;Settings!$B$26),"Line haul too long",IF(ISERROR(SEARCH(","&amp;B7&amp;",",","&amp;INDEX(Cargo!$C$4:$C$15,MATCH($D7,Cargo!$A$4:$A$15,0))&amp;",")),"Cargo not allowed on this vehicle","")))</f>
        <v/>
      </c>
    </row>
    <row r="8" customFormat="false" ht="15" hidden="false" customHeight="false" outlineLevel="0" collapsed="false">
      <c r="A8" s="5" t="s">
        <v>269</v>
      </c>
      <c r="B8" s="22" t="n">
        <v>4</v>
      </c>
      <c r="C8" s="22" t="s">
        <v>205</v>
      </c>
      <c r="D8" s="22" t="s">
        <v>96</v>
      </c>
      <c r="E8" s="23" t="n">
        <v>0</v>
      </c>
      <c r="F8" s="6" t="str">
        <f aca="false">INDEX(Vehicles!$B$5:$B$16,MATCH($B8,Vehicles!$A$5:$A$16,0))</f>
        <v>Sathi Plus</v>
      </c>
      <c r="G8" s="7" t="n">
        <f aca="false">INDEX(Vehicles!$E$5:$E$16,MATCH($B8,Vehicles!$A$5:$A$16,0))</f>
        <v>1300000</v>
      </c>
      <c r="H8" s="27" t="n">
        <f aca="false">INDEX(Vehicles!$F$5:$F$16,MATCH($B8,Vehicles!$A$5:$A$16,0))</f>
        <v>1.5</v>
      </c>
      <c r="I8" s="28" t="n">
        <f aca="false">H8+MAX(0,MIN(E8,INDEX(Vehicles!$G$5:$G$16,MATCH($B8,Vehicles!$A$5:$A$16,0))-H8))</f>
        <v>1.5</v>
      </c>
      <c r="J8" s="29" t="n">
        <f aca="false">(I8-H8)/H8</f>
        <v>0</v>
      </c>
      <c r="K8" s="6" t="str">
        <f aca="false">INDEX(Routes!$E$5:$E$20,MATCH($C8,Routes!$A$5:$A$20,0))</f>
        <v>Local</v>
      </c>
      <c r="L8" s="7" t="n">
        <f aca="false">INDEX(Routes!$D$5:$D$20,MATCH($C8,Routes!$A$5:$A$20,0))</f>
        <v>15</v>
      </c>
      <c r="M8" s="21" t="n">
        <f aca="false">IF(K8="Local",2*L8,L8)</f>
        <v>30</v>
      </c>
      <c r="N8" s="21" t="n">
        <f aca="false">I8*(Settings!$B$6+Settings!$B$7*L8)*INDEX(Cargo!$B$4:$B$15,MATCH($D8,Cargo!$A$4:$A$15,0))*INDEX(Vehicles!$O$5:$O$16,MATCH($B8,Vehicles!$A$5:$A$16,0))*Settings!$B$8</f>
        <v>2693.25</v>
      </c>
      <c r="O8" s="21" t="n">
        <f aca="false">M8*INDEX(Vehicles!$K$5:$K$16,MATCH($B8,Vehicles!$A$5:$A$16,0))*(1+Settings!$B$18*J8)</f>
        <v>337.5</v>
      </c>
      <c r="P8" s="21" t="n">
        <f aca="false">INDEX(Tolls!$B$5:$F$11,MATCH(INDEX(Vehicles!$P$5:$P$16,MATCH($B8,Vehicles!$A$5:$A$16,0)),Tolls!$A$5:$A$11,0),MATCH(INDEX(Routes!$F$5:$F$20,MATCH($C8,Routes!$A$5:$A$20,0)),Tolls!$B$4:$F$4,0))*IF(K8="Local",2,1)</f>
        <v>0</v>
      </c>
      <c r="Q8" s="28" t="n">
        <f aca="false">M8/INDEX(Vehicles!$H$5:$H$16,MATCH($B8,Vehicles!$A$5:$A$16,0))+INDEX(Vehicles!$N$5:$N$16,MATCH($B8,Vehicles!$A$5:$A$16,0))+INDEX(Routes!$H$5:$H$20,MATCH($C8,Routes!$A$5:$A$20,0))</f>
        <v>1.4</v>
      </c>
      <c r="R8" s="21" t="n">
        <f aca="false">Q8*INDEX(Vehicles!$M$5:$M$16,MATCH($B8,Vehicles!$A$5:$A$16,0))</f>
        <v>112</v>
      </c>
      <c r="S8" s="21" t="n">
        <f aca="false">M8*INDEX(Vehicles!$L$5:$L$16,MATCH($B8,Vehicles!$A$5:$A$16,0))*(1+Settings!$B$19*J8)</f>
        <v>60</v>
      </c>
      <c r="T8" s="21" t="n">
        <f aca="false">IF(I8&gt;H8,INDEX(Routes!$G$5:$G$20,MATCH($C8,Routes!$A$5:$A$20,0))*Settings!$B$20*(Settings!$B$21+Settings!$B$22*(I8-H8)),0)</f>
        <v>0</v>
      </c>
      <c r="U8" s="21" t="n">
        <f aca="false">G8*Settings!$B$23*M8/100*(1+Settings!$B$24*J8)*Settings!$B$25</f>
        <v>78</v>
      </c>
      <c r="V8" s="21" t="n">
        <f aca="false">SUM(O8:P8)+SUM(R8:U8)</f>
        <v>587.5</v>
      </c>
      <c r="W8" s="21" t="n">
        <f aca="false">N8-V8</f>
        <v>2105.75</v>
      </c>
      <c r="X8" s="29" t="n">
        <f aca="false">IF(N8&gt;0,W8/N8,0)</f>
        <v>0.781862062563817</v>
      </c>
      <c r="Y8" s="30" t="n">
        <f aca="false">Q8*60/Settings!$B$9</f>
        <v>1.4</v>
      </c>
      <c r="Z8" s="21" t="n">
        <f aca="false">IF(Y8&gt;0,W8/Y8*60,0)</f>
        <v>90246.4285714286</v>
      </c>
      <c r="AA8" s="30" t="n">
        <f aca="false">IF(Z8&gt;0,G8/Z8,"Never")</f>
        <v>14.40500217658</v>
      </c>
      <c r="AB8" s="5" t="str">
        <f aca="false">INDEX(Vehicles!$S$5:$S$16,MATCH($B8,Vehicles!$A$5:$A$16,0))&amp;" to "&amp;INDEX(Vehicles!$T$5:$T$16,MATCH($B8,Vehicles!$A$5:$A$16,0))</f>
        <v>5 to 30</v>
      </c>
      <c r="AC8" s="5" t="str">
        <f aca="false">IF(NOT(ISNUMBER(AA8)),"Loses money",IF(AA8&lt;INDEX(Vehicles!$S$5:$S$16,MATCH($B8,Vehicles!$A$5:$A$16,0)),"Too fast",IF(AA8&gt;INDEX(Vehicles!$T$5:$T$16,MATCH($B8,Vehicles!$A$5:$A$16,0)),"Too slow","OK")))</f>
        <v>OK</v>
      </c>
      <c r="AD8" s="30" t="n">
        <f aca="false">24/Q8</f>
        <v>17.1428571428571</v>
      </c>
      <c r="AE8" s="30" t="n">
        <f aca="false">INDEX(Routes!$I$5:$I$20,MATCH($C8,Routes!$A$5:$A$20,0))/(I8*AD8)</f>
        <v>2.33333333333333</v>
      </c>
      <c r="AF8" s="5" t="str">
        <f aca="false">IF(AND(INDEX(Vehicles!$Q$5:$Q$16,MATCH($B8,Vehicles!$A$5:$A$16,0))="No",K8="Line"),"Not allowed on highway",IF(AND(K8="Line",L8&gt;Settings!$B$26),"Line haul too long",IF(ISERROR(SEARCH(","&amp;B8&amp;",",","&amp;INDEX(Cargo!$C$4:$C$15,MATCH($D8,Cargo!$A$4:$A$15,0))&amp;",")),"Cargo not allowed on this vehicle","")))</f>
        <v/>
      </c>
    </row>
    <row r="9" customFormat="false" ht="15" hidden="false" customHeight="false" outlineLevel="0" collapsed="false">
      <c r="A9" s="5" t="s">
        <v>270</v>
      </c>
      <c r="B9" s="22" t="n">
        <v>5</v>
      </c>
      <c r="C9" s="22" t="s">
        <v>214</v>
      </c>
      <c r="D9" s="22" t="s">
        <v>93</v>
      </c>
      <c r="E9" s="23" t="n">
        <v>0</v>
      </c>
      <c r="F9" s="6" t="str">
        <f aca="false">INDEX(Vehicles!$B$5:$B$16,MATCH($B9,Vehicles!$A$5:$A$16,0))</f>
        <v>Meghna 14</v>
      </c>
      <c r="G9" s="7" t="n">
        <f aca="false">INDEX(Vehicles!$E$5:$E$16,MATCH($B9,Vehicles!$A$5:$A$16,0))</f>
        <v>2500000</v>
      </c>
      <c r="H9" s="27" t="n">
        <f aca="false">INDEX(Vehicles!$F$5:$F$16,MATCH($B9,Vehicles!$A$5:$A$16,0))</f>
        <v>4</v>
      </c>
      <c r="I9" s="28" t="n">
        <f aca="false">H9+MAX(0,MIN(E9,INDEX(Vehicles!$G$5:$G$16,MATCH($B9,Vehicles!$A$5:$A$16,0))-H9))</f>
        <v>4</v>
      </c>
      <c r="J9" s="29" t="n">
        <f aca="false">(I9-H9)/H9</f>
        <v>0</v>
      </c>
      <c r="K9" s="6" t="str">
        <f aca="false">INDEX(Routes!$E$5:$E$20,MATCH($C9,Routes!$A$5:$A$20,0))</f>
        <v>Line</v>
      </c>
      <c r="L9" s="7" t="n">
        <f aca="false">INDEX(Routes!$D$5:$D$20,MATCH($C9,Routes!$A$5:$A$20,0))</f>
        <v>100</v>
      </c>
      <c r="M9" s="21" t="n">
        <f aca="false">IF(K9="Local",2*L9,L9)</f>
        <v>100</v>
      </c>
      <c r="N9" s="21" t="n">
        <f aca="false">I9*(Settings!$B$6+Settings!$B$7*L9)*INDEX(Cargo!$B$4:$B$15,MATCH($D9,Cargo!$A$4:$A$15,0))*INDEX(Vehicles!$O$5:$O$16,MATCH($B9,Vehicles!$A$5:$A$16,0))*Settings!$B$8</f>
        <v>16560</v>
      </c>
      <c r="O9" s="21" t="n">
        <f aca="false">M9*INDEX(Vehicles!$K$5:$K$16,MATCH($B9,Vehicles!$A$5:$A$16,0))*(1+Settings!$B$18*J9)</f>
        <v>1687.5</v>
      </c>
      <c r="P9" s="21" t="n">
        <f aca="false">INDEX(Tolls!$B$5:$F$11,MATCH(INDEX(Vehicles!$P$5:$P$16,MATCH($B9,Vehicles!$A$5:$A$16,0)),Tolls!$A$5:$A$11,0),MATCH(INDEX(Routes!$F$5:$F$20,MATCH($C9,Routes!$A$5:$A$20,0)),Tolls!$B$4:$F$4,0))*IF(K9="Local",2,1)</f>
        <v>500</v>
      </c>
      <c r="Q9" s="28" t="n">
        <f aca="false">M9/INDEX(Vehicles!$H$5:$H$16,MATCH($B9,Vehicles!$A$5:$A$16,0))+INDEX(Vehicles!$N$5:$N$16,MATCH($B9,Vehicles!$A$5:$A$16,0))+INDEX(Routes!$H$5:$H$20,MATCH($C9,Routes!$A$5:$A$20,0))</f>
        <v>3.72222222222222</v>
      </c>
      <c r="R9" s="21" t="n">
        <f aca="false">Q9*INDEX(Vehicles!$M$5:$M$16,MATCH($B9,Vehicles!$A$5:$A$16,0))</f>
        <v>409.444444444444</v>
      </c>
      <c r="S9" s="21" t="n">
        <f aca="false">M9*INDEX(Vehicles!$L$5:$L$16,MATCH($B9,Vehicles!$A$5:$A$16,0))*(1+Settings!$B$19*J9)</f>
        <v>300</v>
      </c>
      <c r="T9" s="21" t="n">
        <f aca="false">IF(I9&gt;H9,INDEX(Routes!$G$5:$G$20,MATCH($C9,Routes!$A$5:$A$20,0))*Settings!$B$20*(Settings!$B$21+Settings!$B$22*(I9-H9)),0)</f>
        <v>0</v>
      </c>
      <c r="U9" s="21" t="n">
        <f aca="false">G9*Settings!$B$23*M9/100*(1+Settings!$B$24*J9)*Settings!$B$25</f>
        <v>500</v>
      </c>
      <c r="V9" s="21" t="n">
        <f aca="false">SUM(O9:P9)+SUM(R9:U9)</f>
        <v>3396.94444444444</v>
      </c>
      <c r="W9" s="21" t="n">
        <f aca="false">N9-V9</f>
        <v>13163.0555555556</v>
      </c>
      <c r="X9" s="29" t="n">
        <f aca="false">IF(N9&gt;0,W9/N9,0)</f>
        <v>0.794870504562534</v>
      </c>
      <c r="Y9" s="30" t="n">
        <f aca="false">Q9*60/Settings!$B$9</f>
        <v>3.72222222222222</v>
      </c>
      <c r="Z9" s="21" t="n">
        <f aca="false">IF(Y9&gt;0,W9/Y9*60,0)</f>
        <v>212180.597014925</v>
      </c>
      <c r="AA9" s="30" t="n">
        <f aca="false">IF(Z9&gt;0,G9/Z9,"Never")</f>
        <v>11.7824157117634</v>
      </c>
      <c r="AB9" s="5" t="str">
        <f aca="false">INDEX(Vehicles!$S$5:$S$16,MATCH($B9,Vehicles!$A$5:$A$16,0))&amp;" to "&amp;INDEX(Vehicles!$T$5:$T$16,MATCH($B9,Vehicles!$A$5:$A$16,0))</f>
        <v>10 to 40</v>
      </c>
      <c r="AC9" s="5" t="str">
        <f aca="false">IF(NOT(ISNUMBER(AA9)),"Loses money",IF(AA9&lt;INDEX(Vehicles!$S$5:$S$16,MATCH($B9,Vehicles!$A$5:$A$16,0)),"Too fast",IF(AA9&gt;INDEX(Vehicles!$T$5:$T$16,MATCH($B9,Vehicles!$A$5:$A$16,0)),"Too slow","OK")))</f>
        <v>OK</v>
      </c>
      <c r="AD9" s="30" t="n">
        <f aca="false">24/Q9</f>
        <v>6.44776119402985</v>
      </c>
      <c r="AE9" s="30" t="n">
        <f aca="false">INDEX(Routes!$I$5:$I$20,MATCH($C9,Routes!$A$5:$A$20,0))/(I9*AD9)</f>
        <v>4.65277777777778</v>
      </c>
      <c r="AF9" s="5" t="str">
        <f aca="false">IF(AND(INDEX(Vehicles!$Q$5:$Q$16,MATCH($B9,Vehicles!$A$5:$A$16,0))="No",K9="Line"),"Not allowed on highway",IF(AND(K9="Line",L9&gt;Settings!$B$26),"Line haul too long",IF(ISERROR(SEARCH(","&amp;B9&amp;",",","&amp;INDEX(Cargo!$C$4:$C$15,MATCH($D9,Cargo!$A$4:$A$15,0))&amp;",")),"Cargo not allowed on this vehicle","")))</f>
        <v/>
      </c>
    </row>
    <row r="10" customFormat="false" ht="15" hidden="false" customHeight="false" outlineLevel="0" collapsed="false">
      <c r="A10" s="5" t="s">
        <v>271</v>
      </c>
      <c r="B10" s="22" t="n">
        <v>6</v>
      </c>
      <c r="C10" s="22" t="s">
        <v>217</v>
      </c>
      <c r="D10" s="22" t="s">
        <v>96</v>
      </c>
      <c r="E10" s="23" t="n">
        <v>0</v>
      </c>
      <c r="F10" s="6" t="str">
        <f aca="false">INDEX(Vehicles!$B$5:$B$16,MATCH($B10,Vehicles!$A$5:$A$16,0))</f>
        <v>Jamuna Open</v>
      </c>
      <c r="G10" s="7" t="n">
        <f aca="false">INDEX(Vehicles!$E$5:$E$16,MATCH($B10,Vehicles!$A$5:$A$16,0))</f>
        <v>3200000</v>
      </c>
      <c r="H10" s="27" t="n">
        <f aca="false">INDEX(Vehicles!$F$5:$F$16,MATCH($B10,Vehicles!$A$5:$A$16,0))</f>
        <v>10</v>
      </c>
      <c r="I10" s="28" t="n">
        <f aca="false">H10+MAX(0,MIN(E10,INDEX(Vehicles!$G$5:$G$16,MATCH($B10,Vehicles!$A$5:$A$16,0))-H10))</f>
        <v>10</v>
      </c>
      <c r="J10" s="29" t="n">
        <f aca="false">(I10-H10)/H10</f>
        <v>0</v>
      </c>
      <c r="K10" s="6" t="str">
        <f aca="false">INDEX(Routes!$E$5:$E$20,MATCH($C10,Routes!$A$5:$A$20,0))</f>
        <v>Line</v>
      </c>
      <c r="L10" s="7" t="n">
        <f aca="false">INDEX(Routes!$D$5:$D$20,MATCH($C10,Routes!$A$5:$A$20,0))</f>
        <v>250</v>
      </c>
      <c r="M10" s="21" t="n">
        <f aca="false">IF(K10="Local",2*L10,L10)</f>
        <v>250</v>
      </c>
      <c r="N10" s="21" t="n">
        <f aca="false">I10*(Settings!$B$6+Settings!$B$7*L10)*INDEX(Cargo!$B$4:$B$15,MATCH($D10,Cargo!$A$4:$A$15,0))*INDEX(Vehicles!$O$5:$O$16,MATCH($B10,Vehicles!$A$5:$A$16,0))*Settings!$B$8</f>
        <v>36375</v>
      </c>
      <c r="O10" s="21" t="n">
        <f aca="false">M10*INDEX(Vehicles!$K$5:$K$16,MATCH($B10,Vehicles!$A$5:$A$16,0))*(1+Settings!$B$18*J10)</f>
        <v>7500</v>
      </c>
      <c r="P10" s="21" t="n">
        <f aca="false">INDEX(Tolls!$B$5:$F$11,MATCH(INDEX(Vehicles!$P$5:$P$16,MATCH($B10,Vehicles!$A$5:$A$16,0)),Tolls!$A$5:$A$11,0),MATCH(INDEX(Routes!$F$5:$F$20,MATCH($C10,Routes!$A$5:$A$20,0)),Tolls!$B$4:$F$4,0))*IF(K10="Local",2,1)</f>
        <v>800</v>
      </c>
      <c r="Q10" s="28" t="n">
        <f aca="false">M10/INDEX(Vehicles!$H$5:$H$16,MATCH($B10,Vehicles!$A$5:$A$16,0))+INDEX(Vehicles!$N$5:$N$16,MATCH($B10,Vehicles!$A$5:$A$16,0))+INDEX(Routes!$H$5:$H$20,MATCH($C10,Routes!$A$5:$A$20,0))</f>
        <v>9.25</v>
      </c>
      <c r="R10" s="21" t="n">
        <f aca="false">Q10*INDEX(Vehicles!$M$5:$M$16,MATCH($B10,Vehicles!$A$5:$A$16,0))</f>
        <v>1480</v>
      </c>
      <c r="S10" s="21" t="n">
        <f aca="false">M10*INDEX(Vehicles!$L$5:$L$16,MATCH($B10,Vehicles!$A$5:$A$16,0))*(1+Settings!$B$19*J10)</f>
        <v>1000</v>
      </c>
      <c r="T10" s="21" t="n">
        <f aca="false">IF(I10&gt;H10,INDEX(Routes!$G$5:$G$20,MATCH($C10,Routes!$A$5:$A$20,0))*Settings!$B$20*(Settings!$B$21+Settings!$B$22*(I10-H10)),0)</f>
        <v>0</v>
      </c>
      <c r="U10" s="21" t="n">
        <f aca="false">G10*Settings!$B$23*M10/100*(1+Settings!$B$24*J10)*Settings!$B$25</f>
        <v>1600</v>
      </c>
      <c r="V10" s="21" t="n">
        <f aca="false">SUM(O10:P10)+SUM(R10:U10)</f>
        <v>12380</v>
      </c>
      <c r="W10" s="21" t="n">
        <f aca="false">N10-V10</f>
        <v>23995</v>
      </c>
      <c r="X10" s="29" t="n">
        <f aca="false">IF(N10&gt;0,W10/N10,0)</f>
        <v>0.659656357388316</v>
      </c>
      <c r="Y10" s="30" t="n">
        <f aca="false">Q10*60/Settings!$B$9</f>
        <v>9.25</v>
      </c>
      <c r="Z10" s="21" t="n">
        <f aca="false">IF(Y10&gt;0,W10/Y10*60,0)</f>
        <v>155643.243243243</v>
      </c>
      <c r="AA10" s="30" t="n">
        <f aca="false">IF(Z10&gt;0,G10/Z10,"Never")</f>
        <v>20.5598388553171</v>
      </c>
      <c r="AB10" s="5" t="str">
        <f aca="false">INDEX(Vehicles!$S$5:$S$16,MATCH($B10,Vehicles!$A$5:$A$16,0))&amp;" to "&amp;INDEX(Vehicles!$T$5:$T$16,MATCH($B10,Vehicles!$A$5:$A$16,0))</f>
        <v>10 to 40</v>
      </c>
      <c r="AC10" s="5" t="str">
        <f aca="false">IF(NOT(ISNUMBER(AA10)),"Loses money",IF(AA10&lt;INDEX(Vehicles!$S$5:$S$16,MATCH($B10,Vehicles!$A$5:$A$16,0)),"Too fast",IF(AA10&gt;INDEX(Vehicles!$T$5:$T$16,MATCH($B10,Vehicles!$A$5:$A$16,0)),"Too slow","OK")))</f>
        <v>OK</v>
      </c>
      <c r="AD10" s="30" t="n">
        <f aca="false">24/Q10</f>
        <v>2.59459459459459</v>
      </c>
      <c r="AE10" s="30" t="n">
        <f aca="false">INDEX(Routes!$I$5:$I$20,MATCH($C10,Routes!$A$5:$A$20,0))/(I10*AD10)</f>
        <v>15.4166666666667</v>
      </c>
      <c r="AF10" s="5" t="str">
        <f aca="false">IF(AND(INDEX(Vehicles!$Q$5:$Q$16,MATCH($B10,Vehicles!$A$5:$A$16,0))="No",K10="Line"),"Not allowed on highway",IF(AND(K10="Line",L10&gt;Settings!$B$26),"Line haul too long",IF(ISERROR(SEARCH(","&amp;B10&amp;",",","&amp;INDEX(Cargo!$C$4:$C$15,MATCH($D10,Cargo!$A$4:$A$15,0))&amp;",")),"Cargo not allowed on this vehicle","")))</f>
        <v/>
      </c>
    </row>
    <row r="11" customFormat="false" ht="15" hidden="false" customHeight="false" outlineLevel="0" collapsed="false">
      <c r="A11" s="5" t="s">
        <v>272</v>
      </c>
      <c r="B11" s="22" t="n">
        <v>7</v>
      </c>
      <c r="C11" s="22" t="s">
        <v>220</v>
      </c>
      <c r="D11" s="22" t="s">
        <v>102</v>
      </c>
      <c r="E11" s="23" t="n">
        <v>0</v>
      </c>
      <c r="F11" s="6" t="str">
        <f aca="false">INDEX(Vehicles!$B$5:$B$16,MATCH($B11,Vehicles!$A$5:$A$16,0))</f>
        <v>Karnaphuli 20</v>
      </c>
      <c r="G11" s="7" t="n">
        <f aca="false">INDEX(Vehicles!$E$5:$E$16,MATCH($B11,Vehicles!$A$5:$A$16,0))</f>
        <v>3500000</v>
      </c>
      <c r="H11" s="27" t="n">
        <f aca="false">INDEX(Vehicles!$F$5:$F$16,MATCH($B11,Vehicles!$A$5:$A$16,0))</f>
        <v>10</v>
      </c>
      <c r="I11" s="28" t="n">
        <f aca="false">H11+MAX(0,MIN(E11,INDEX(Vehicles!$G$5:$G$16,MATCH($B11,Vehicles!$A$5:$A$16,0))-H11))</f>
        <v>10</v>
      </c>
      <c r="J11" s="29" t="n">
        <f aca="false">(I11-H11)/H11</f>
        <v>0</v>
      </c>
      <c r="K11" s="6" t="str">
        <f aca="false">INDEX(Routes!$E$5:$E$20,MATCH($C11,Routes!$A$5:$A$20,0))</f>
        <v>Line</v>
      </c>
      <c r="L11" s="7" t="n">
        <f aca="false">INDEX(Routes!$D$5:$D$20,MATCH($C11,Routes!$A$5:$A$20,0))</f>
        <v>280</v>
      </c>
      <c r="M11" s="21" t="n">
        <f aca="false">IF(K11="Local",2*L11,L11)</f>
        <v>280</v>
      </c>
      <c r="N11" s="21" t="n">
        <f aca="false">I11*(Settings!$B$6+Settings!$B$7*L11)*INDEX(Cargo!$B$4:$B$15,MATCH($D11,Cargo!$A$4:$A$15,0))*INDEX(Vehicles!$O$5:$O$16,MATCH($B11,Vehicles!$A$5:$A$16,0))*Settings!$B$8</f>
        <v>59094</v>
      </c>
      <c r="O11" s="21" t="n">
        <f aca="false">M11*INDEX(Vehicles!$K$5:$K$16,MATCH($B11,Vehicles!$A$5:$A$16,0))*(1+Settings!$B$18*J11)</f>
        <v>8400</v>
      </c>
      <c r="P11" s="21" t="n">
        <f aca="false">INDEX(Tolls!$B$5:$F$11,MATCH(INDEX(Vehicles!$P$5:$P$16,MATCH($B11,Vehicles!$A$5:$A$16,0)),Tolls!$A$5:$A$11,0),MATCH(INDEX(Routes!$F$5:$F$20,MATCH($C11,Routes!$A$5:$A$20,0)),Tolls!$B$4:$F$4,0))*IF(K11="Local",2,1)</f>
        <v>800</v>
      </c>
      <c r="Q11" s="28" t="n">
        <f aca="false">M11/INDEX(Vehicles!$H$5:$H$16,MATCH($B11,Vehicles!$A$5:$A$16,0))+INDEX(Vehicles!$N$5:$N$16,MATCH($B11,Vehicles!$A$5:$A$16,0))+INDEX(Routes!$H$5:$H$20,MATCH($C11,Routes!$A$5:$A$20,0))</f>
        <v>10.5</v>
      </c>
      <c r="R11" s="21" t="n">
        <f aca="false">Q11*INDEX(Vehicles!$M$5:$M$16,MATCH($B11,Vehicles!$A$5:$A$16,0))</f>
        <v>1680</v>
      </c>
      <c r="S11" s="21" t="n">
        <f aca="false">M11*INDEX(Vehicles!$L$5:$L$16,MATCH($B11,Vehicles!$A$5:$A$16,0))*(1+Settings!$B$19*J11)</f>
        <v>1260</v>
      </c>
      <c r="T11" s="21" t="n">
        <f aca="false">IF(I11&gt;H11,INDEX(Routes!$G$5:$G$20,MATCH($C11,Routes!$A$5:$A$20,0))*Settings!$B$20*(Settings!$B$21+Settings!$B$22*(I11-H11)),0)</f>
        <v>0</v>
      </c>
      <c r="U11" s="21" t="n">
        <f aca="false">G11*Settings!$B$23*M11/100*(1+Settings!$B$24*J11)*Settings!$B$25</f>
        <v>1960</v>
      </c>
      <c r="V11" s="21" t="n">
        <f aca="false">SUM(O11:P11)+SUM(R11:U11)</f>
        <v>14100</v>
      </c>
      <c r="W11" s="21" t="n">
        <f aca="false">N11-V11</f>
        <v>44994</v>
      </c>
      <c r="X11" s="29" t="n">
        <f aca="false">IF(N11&gt;0,W11/N11,0)</f>
        <v>0.761397096151894</v>
      </c>
      <c r="Y11" s="30" t="n">
        <f aca="false">Q11*60/Settings!$B$9</f>
        <v>10.5</v>
      </c>
      <c r="Z11" s="21" t="n">
        <f aca="false">IF(Y11&gt;0,W11/Y11*60,0)</f>
        <v>257108.571428571</v>
      </c>
      <c r="AA11" s="30" t="n">
        <f aca="false">IF(Z11&gt;0,G11/Z11,"Never")</f>
        <v>13.6129261679335</v>
      </c>
      <c r="AB11" s="5" t="str">
        <f aca="false">INDEX(Vehicles!$S$5:$S$16,MATCH($B11,Vehicles!$A$5:$A$16,0))&amp;" to "&amp;INDEX(Vehicles!$T$5:$T$16,MATCH($B11,Vehicles!$A$5:$A$16,0))</f>
        <v>10 to 40</v>
      </c>
      <c r="AC11" s="5" t="str">
        <f aca="false">IF(NOT(ISNUMBER(AA11)),"Loses money",IF(AA11&lt;INDEX(Vehicles!$S$5:$S$16,MATCH($B11,Vehicles!$A$5:$A$16,0)),"Too fast",IF(AA11&gt;INDEX(Vehicles!$T$5:$T$16,MATCH($B11,Vehicles!$A$5:$A$16,0)),"Too slow","OK")))</f>
        <v>OK</v>
      </c>
      <c r="AD11" s="30" t="n">
        <f aca="false">24/Q11</f>
        <v>2.28571428571429</v>
      </c>
      <c r="AE11" s="30" t="n">
        <f aca="false">INDEX(Routes!$I$5:$I$20,MATCH($C11,Routes!$A$5:$A$20,0))/(I11*AD11)</f>
        <v>13.125</v>
      </c>
      <c r="AF11" s="5" t="str">
        <f aca="false">IF(AND(INDEX(Vehicles!$Q$5:$Q$16,MATCH($B11,Vehicles!$A$5:$A$16,0))="No",K11="Line"),"Not allowed on highway",IF(AND(K11="Line",L11&gt;Settings!$B$26),"Line haul too long",IF(ISERROR(SEARCH(","&amp;B11&amp;",",","&amp;INDEX(Cargo!$C$4:$C$15,MATCH($D11,Cargo!$A$4:$A$15,0))&amp;",")),"Cargo not allowed on this vehicle","")))</f>
        <v/>
      </c>
    </row>
    <row r="12" customFormat="false" ht="15" hidden="false" customHeight="false" outlineLevel="0" collapsed="false">
      <c r="A12" s="5" t="s">
        <v>273</v>
      </c>
      <c r="B12" s="22" t="n">
        <v>8</v>
      </c>
      <c r="C12" s="22" t="s">
        <v>229</v>
      </c>
      <c r="D12" s="22" t="s">
        <v>113</v>
      </c>
      <c r="E12" s="23" t="n">
        <v>0</v>
      </c>
      <c r="F12" s="6" t="str">
        <f aca="false">INDEX(Vehicles!$B$5:$B$16,MATCH($B12,Vehicles!$A$5:$A$16,0))</f>
        <v>Himaloy Reefer</v>
      </c>
      <c r="G12" s="7" t="n">
        <f aca="false">INDEX(Vehicles!$E$5:$E$16,MATCH($B12,Vehicles!$A$5:$A$16,0))</f>
        <v>4500000</v>
      </c>
      <c r="H12" s="27" t="n">
        <f aca="false">INDEX(Vehicles!$F$5:$F$16,MATCH($B12,Vehicles!$A$5:$A$16,0))</f>
        <v>6</v>
      </c>
      <c r="I12" s="28" t="n">
        <f aca="false">H12+MAX(0,MIN(E12,INDEX(Vehicles!$G$5:$G$16,MATCH($B12,Vehicles!$A$5:$A$16,0))-H12))</f>
        <v>6</v>
      </c>
      <c r="J12" s="29" t="n">
        <f aca="false">(I12-H12)/H12</f>
        <v>0</v>
      </c>
      <c r="K12" s="6" t="str">
        <f aca="false">INDEX(Routes!$E$5:$E$20,MATCH($C12,Routes!$A$5:$A$20,0))</f>
        <v>Line</v>
      </c>
      <c r="L12" s="7" t="n">
        <f aca="false">INDEX(Routes!$D$5:$D$20,MATCH($C12,Routes!$A$5:$A$20,0))</f>
        <v>220</v>
      </c>
      <c r="M12" s="21" t="n">
        <f aca="false">IF(K12="Local",2*L12,L12)</f>
        <v>220</v>
      </c>
      <c r="N12" s="21" t="n">
        <f aca="false">I12*(Settings!$B$6+Settings!$B$7*L12)*INDEX(Cargo!$B$4:$B$15,MATCH($D12,Cargo!$A$4:$A$15,0))*INDEX(Vehicles!$O$5:$O$16,MATCH($B12,Vehicles!$A$5:$A$16,0))*Settings!$B$8</f>
        <v>42966</v>
      </c>
      <c r="O12" s="21" t="n">
        <f aca="false">M12*INDEX(Vehicles!$K$5:$K$16,MATCH($B12,Vehicles!$A$5:$A$16,0))*(1+Settings!$B$18*J12)</f>
        <v>8485.71428571428</v>
      </c>
      <c r="P12" s="21" t="n">
        <f aca="false">INDEX(Tolls!$B$5:$F$11,MATCH(INDEX(Vehicles!$P$5:$P$16,MATCH($B12,Vehicles!$A$5:$A$16,0)),Tolls!$A$5:$A$11,0),MATCH(INDEX(Routes!$F$5:$F$20,MATCH($C12,Routes!$A$5:$A$20,0)),Tolls!$B$4:$F$4,0))*IF(K12="Local",2,1)</f>
        <v>2800</v>
      </c>
      <c r="Q12" s="28" t="n">
        <f aca="false">M12/INDEX(Vehicles!$H$5:$H$16,MATCH($B12,Vehicles!$A$5:$A$16,0))+INDEX(Vehicles!$N$5:$N$16,MATCH($B12,Vehicles!$A$5:$A$16,0))+INDEX(Routes!$H$5:$H$20,MATCH($C12,Routes!$A$5:$A$20,0))</f>
        <v>8</v>
      </c>
      <c r="R12" s="21" t="n">
        <f aca="false">Q12*INDEX(Vehicles!$M$5:$M$16,MATCH($B12,Vehicles!$A$5:$A$16,0))</f>
        <v>1440</v>
      </c>
      <c r="S12" s="21" t="n">
        <f aca="false">M12*INDEX(Vehicles!$L$5:$L$16,MATCH($B12,Vehicles!$A$5:$A$16,0))*(1+Settings!$B$19*J12)</f>
        <v>1320</v>
      </c>
      <c r="T12" s="21" t="n">
        <f aca="false">IF(I12&gt;H12,INDEX(Routes!$G$5:$G$20,MATCH($C12,Routes!$A$5:$A$20,0))*Settings!$B$20*(Settings!$B$21+Settings!$B$22*(I12-H12)),0)</f>
        <v>0</v>
      </c>
      <c r="U12" s="21" t="n">
        <f aca="false">G12*Settings!$B$23*M12/100*(1+Settings!$B$24*J12)*Settings!$B$25</f>
        <v>1980</v>
      </c>
      <c r="V12" s="21" t="n">
        <f aca="false">SUM(O12:P12)+SUM(R12:U12)</f>
        <v>16025.7142857143</v>
      </c>
      <c r="W12" s="21" t="n">
        <f aca="false">N12-V12</f>
        <v>26940.2857142857</v>
      </c>
      <c r="X12" s="29" t="n">
        <f aca="false">IF(N12&gt;0,W12/N12,0)</f>
        <v>0.627014050977185</v>
      </c>
      <c r="Y12" s="30" t="n">
        <f aca="false">Q12*60/Settings!$B$9</f>
        <v>8</v>
      </c>
      <c r="Z12" s="21" t="n">
        <f aca="false">IF(Y12&gt;0,W12/Y12*60,0)</f>
        <v>202052.142857143</v>
      </c>
      <c r="AA12" s="30" t="n">
        <f aca="false">IF(Z12&gt;0,G12/Z12,"Never")</f>
        <v>22.2714787201323</v>
      </c>
      <c r="AB12" s="5" t="str">
        <f aca="false">INDEX(Vehicles!$S$5:$S$16,MATCH($B12,Vehicles!$A$5:$A$16,0))&amp;" to "&amp;INDEX(Vehicles!$T$5:$T$16,MATCH($B12,Vehicles!$A$5:$A$16,0))</f>
        <v>10 to 40</v>
      </c>
      <c r="AC12" s="5" t="str">
        <f aca="false">IF(NOT(ISNUMBER(AA12)),"Loses money",IF(AA12&lt;INDEX(Vehicles!$S$5:$S$16,MATCH($B12,Vehicles!$A$5:$A$16,0)),"Too fast",IF(AA12&gt;INDEX(Vehicles!$T$5:$T$16,MATCH($B12,Vehicles!$A$5:$A$16,0)),"Too slow","OK")))</f>
        <v>OK</v>
      </c>
      <c r="AD12" s="30" t="n">
        <f aca="false">24/Q12</f>
        <v>3</v>
      </c>
      <c r="AE12" s="30" t="n">
        <f aca="false">INDEX(Routes!$I$5:$I$20,MATCH($C12,Routes!$A$5:$A$20,0))/(I12*AD12)</f>
        <v>6.66666666666667</v>
      </c>
      <c r="AF12" s="5" t="str">
        <f aca="false">IF(AND(INDEX(Vehicles!$Q$5:$Q$16,MATCH($B12,Vehicles!$A$5:$A$16,0))="No",K12="Line"),"Not allowed on highway",IF(AND(K12="Line",L12&gt;Settings!$B$26),"Line haul too long",IF(ISERROR(SEARCH(","&amp;B12&amp;",",","&amp;INDEX(Cargo!$C$4:$C$15,MATCH($D12,Cargo!$A$4:$A$15,0))&amp;",")),"Cargo not allowed on this vehicle","")))</f>
        <v/>
      </c>
    </row>
    <row r="13" customFormat="false" ht="15" hidden="false" customHeight="false" outlineLevel="0" collapsed="false">
      <c r="A13" s="5" t="s">
        <v>274</v>
      </c>
      <c r="B13" s="22" t="n">
        <v>9</v>
      </c>
      <c r="C13" s="22" t="s">
        <v>239</v>
      </c>
      <c r="D13" s="22" t="s">
        <v>111</v>
      </c>
      <c r="E13" s="23" t="n">
        <v>0</v>
      </c>
      <c r="F13" s="6" t="str">
        <f aca="false">INDEX(Vehicles!$B$5:$B$16,MATCH($B13,Vehicles!$A$5:$A$16,0))</f>
        <v>Pahari Tipper</v>
      </c>
      <c r="G13" s="7" t="n">
        <f aca="false">INDEX(Vehicles!$E$5:$E$16,MATCH($B13,Vehicles!$A$5:$A$16,0))</f>
        <v>6000000</v>
      </c>
      <c r="H13" s="27" t="n">
        <f aca="false">INDEX(Vehicles!$F$5:$F$16,MATCH($B13,Vehicles!$A$5:$A$16,0))</f>
        <v>18</v>
      </c>
      <c r="I13" s="28" t="n">
        <f aca="false">H13+MAX(0,MIN(E13,INDEX(Vehicles!$G$5:$G$16,MATCH($B13,Vehicles!$A$5:$A$16,0))-H13))</f>
        <v>18</v>
      </c>
      <c r="J13" s="29" t="n">
        <f aca="false">(I13-H13)/H13</f>
        <v>0</v>
      </c>
      <c r="K13" s="6" t="str">
        <f aca="false">INDEX(Routes!$E$5:$E$20,MATCH($C13,Routes!$A$5:$A$20,0))</f>
        <v>Local</v>
      </c>
      <c r="L13" s="7" t="n">
        <f aca="false">INDEX(Routes!$D$5:$D$20,MATCH($C13,Routes!$A$5:$A$20,0))</f>
        <v>25</v>
      </c>
      <c r="M13" s="21" t="n">
        <f aca="false">IF(K13="Local",2*L13,L13)</f>
        <v>50</v>
      </c>
      <c r="N13" s="21" t="n">
        <f aca="false">I13*(Settings!$B$6+Settings!$B$7*L13)*INDEX(Cargo!$B$4:$B$15,MATCH($D13,Cargo!$A$4:$A$15,0))*INDEX(Vehicles!$O$5:$O$16,MATCH($B13,Vehicles!$A$5:$A$16,0))*Settings!$B$8</f>
        <v>14944.5</v>
      </c>
      <c r="O13" s="21" t="n">
        <f aca="false">M13*INDEX(Vehicles!$K$5:$K$16,MATCH($B13,Vehicles!$A$5:$A$16,0))*(1+Settings!$B$18*J13)</f>
        <v>2250</v>
      </c>
      <c r="P13" s="21" t="n">
        <f aca="false">INDEX(Tolls!$B$5:$F$11,MATCH(INDEX(Vehicles!$P$5:$P$16,MATCH($B13,Vehicles!$A$5:$A$16,0)),Tolls!$A$5:$A$11,0),MATCH(INDEX(Routes!$F$5:$F$20,MATCH($C13,Routes!$A$5:$A$20,0)),Tolls!$B$4:$F$4,0))*IF(K13="Local",2,1)</f>
        <v>0</v>
      </c>
      <c r="Q13" s="28" t="n">
        <f aca="false">M13/INDEX(Vehicles!$H$5:$H$16,MATCH($B13,Vehicles!$A$5:$A$16,0))+INDEX(Vehicles!$N$5:$N$16,MATCH($B13,Vehicles!$A$5:$A$16,0))+INDEX(Routes!$H$5:$H$20,MATCH($C13,Routes!$A$5:$A$20,0))</f>
        <v>3.66666666666667</v>
      </c>
      <c r="R13" s="21" t="n">
        <f aca="false">Q13*INDEX(Vehicles!$M$5:$M$16,MATCH($B13,Vehicles!$A$5:$A$16,0))</f>
        <v>623.333333333333</v>
      </c>
      <c r="S13" s="21" t="n">
        <f aca="false">M13*INDEX(Vehicles!$L$5:$L$16,MATCH($B13,Vehicles!$A$5:$A$16,0))*(1+Settings!$B$19*J13)</f>
        <v>350</v>
      </c>
      <c r="T13" s="21" t="n">
        <f aca="false">IF(I13&gt;H13,INDEX(Routes!$G$5:$G$20,MATCH($C13,Routes!$A$5:$A$20,0))*Settings!$B$20*(Settings!$B$21+Settings!$B$22*(I13-H13)),0)</f>
        <v>0</v>
      </c>
      <c r="U13" s="21" t="n">
        <f aca="false">G13*Settings!$B$23*M13/100*(1+Settings!$B$24*J13)*Settings!$B$25</f>
        <v>600</v>
      </c>
      <c r="V13" s="21" t="n">
        <f aca="false">SUM(O13:P13)+SUM(R13:U13)</f>
        <v>3823.33333333333</v>
      </c>
      <c r="W13" s="21" t="n">
        <f aca="false">N13-V13</f>
        <v>11121.1666666667</v>
      </c>
      <c r="X13" s="29" t="n">
        <f aca="false">IF(N13&gt;0,W13/N13,0)</f>
        <v>0.744164519834499</v>
      </c>
      <c r="Y13" s="30" t="n">
        <f aca="false">Q13*60/Settings!$B$9</f>
        <v>3.66666666666667</v>
      </c>
      <c r="Z13" s="21" t="n">
        <f aca="false">IF(Y13&gt;0,W13/Y13*60,0)</f>
        <v>181982.727272727</v>
      </c>
      <c r="AA13" s="30" t="n">
        <f aca="false">IF(Z13&gt;0,G13/Z13,"Never")</f>
        <v>32.9701620033869</v>
      </c>
      <c r="AB13" s="5" t="str">
        <f aca="false">INDEX(Vehicles!$S$5:$S$16,MATCH($B13,Vehicles!$A$5:$A$16,0))&amp;" to "&amp;INDEX(Vehicles!$T$5:$T$16,MATCH($B13,Vehicles!$A$5:$A$16,0))</f>
        <v>20 to 80</v>
      </c>
      <c r="AC13" s="5" t="str">
        <f aca="false">IF(NOT(ISNUMBER(AA13)),"Loses money",IF(AA13&lt;INDEX(Vehicles!$S$5:$S$16,MATCH($B13,Vehicles!$A$5:$A$16,0)),"Too fast",IF(AA13&gt;INDEX(Vehicles!$T$5:$T$16,MATCH($B13,Vehicles!$A$5:$A$16,0)),"Too slow","OK")))</f>
        <v>OK</v>
      </c>
      <c r="AD13" s="30" t="n">
        <f aca="false">24/Q13</f>
        <v>6.54545454545455</v>
      </c>
      <c r="AE13" s="30" t="n">
        <f aca="false">INDEX(Routes!$I$5:$I$20,MATCH($C13,Routes!$A$5:$A$20,0))/(I13*AD13)</f>
        <v>1.69753086419753</v>
      </c>
      <c r="AF13" s="5" t="str">
        <f aca="false">IF(AND(INDEX(Vehicles!$Q$5:$Q$16,MATCH($B13,Vehicles!$A$5:$A$16,0))="No",K13="Line"),"Not allowed on highway",IF(AND(K13="Line",L13&gt;Settings!$B$26),"Line haul too long",IF(ISERROR(SEARCH(","&amp;B13&amp;",",","&amp;INDEX(Cargo!$C$4:$C$15,MATCH($D13,Cargo!$A$4:$A$15,0))&amp;",")),"Cargo not allowed on this vehicle","")))</f>
        <v/>
      </c>
    </row>
    <row r="14" customFormat="false" ht="15" hidden="false" customHeight="false" outlineLevel="0" collapsed="false">
      <c r="A14" s="5" t="s">
        <v>275</v>
      </c>
      <c r="B14" s="22" t="n">
        <v>10</v>
      </c>
      <c r="C14" s="22" t="s">
        <v>217</v>
      </c>
      <c r="D14" s="22" t="s">
        <v>116</v>
      </c>
      <c r="E14" s="23" t="n">
        <v>0</v>
      </c>
      <c r="F14" s="6" t="str">
        <f aca="false">INDEX(Vehicles!$B$5:$B$16,MATCH($B14,Vehicles!$A$5:$A$16,0))</f>
        <v>Telrani</v>
      </c>
      <c r="G14" s="7" t="n">
        <f aca="false">INDEX(Vehicles!$E$5:$E$16,MATCH($B14,Vehicles!$A$5:$A$16,0))</f>
        <v>5000000</v>
      </c>
      <c r="H14" s="27" t="n">
        <f aca="false">INDEX(Vehicles!$F$5:$F$16,MATCH($B14,Vehicles!$A$5:$A$16,0))</f>
        <v>12.75</v>
      </c>
      <c r="I14" s="28" t="n">
        <f aca="false">H14+MAX(0,MIN(E14,INDEX(Vehicles!$G$5:$G$16,MATCH($B14,Vehicles!$A$5:$A$16,0))-H14))</f>
        <v>12.75</v>
      </c>
      <c r="J14" s="29" t="n">
        <f aca="false">(I14-H14)/H14</f>
        <v>0</v>
      </c>
      <c r="K14" s="6" t="str">
        <f aca="false">INDEX(Routes!$E$5:$E$20,MATCH($C14,Routes!$A$5:$A$20,0))</f>
        <v>Line</v>
      </c>
      <c r="L14" s="7" t="n">
        <f aca="false">INDEX(Routes!$D$5:$D$20,MATCH($C14,Routes!$A$5:$A$20,0))</f>
        <v>250</v>
      </c>
      <c r="M14" s="21" t="n">
        <f aca="false">IF(K14="Local",2*L14,L14)</f>
        <v>250</v>
      </c>
      <c r="N14" s="21" t="n">
        <f aca="false">I14*(Settings!$B$6+Settings!$B$7*L14)*INDEX(Cargo!$B$4:$B$15,MATCH($D14,Cargo!$A$4:$A$15,0))*INDEX(Vehicles!$O$5:$O$16,MATCH($B14,Vehicles!$A$5:$A$16,0))*Settings!$B$8</f>
        <v>55653.75</v>
      </c>
      <c r="O14" s="21" t="n">
        <f aca="false">M14*INDEX(Vehicles!$K$5:$K$16,MATCH($B14,Vehicles!$A$5:$A$16,0))*(1+Settings!$B$18*J14)</f>
        <v>9642.85714285714</v>
      </c>
      <c r="P14" s="21" t="n">
        <f aca="false">INDEX(Tolls!$B$5:$F$11,MATCH(INDEX(Vehicles!$P$5:$P$16,MATCH($B14,Vehicles!$A$5:$A$16,0)),Tolls!$A$5:$A$11,0),MATCH(INDEX(Routes!$F$5:$F$20,MATCH($C14,Routes!$A$5:$A$20,0)),Tolls!$B$4:$F$4,0))*IF(K14="Local",2,1)</f>
        <v>1000</v>
      </c>
      <c r="Q14" s="28" t="n">
        <f aca="false">M14/INDEX(Vehicles!$H$5:$H$16,MATCH($B14,Vehicles!$A$5:$A$16,0))+INDEX(Vehicles!$N$5:$N$16,MATCH($B14,Vehicles!$A$5:$A$16,0))+INDEX(Routes!$H$5:$H$20,MATCH($C14,Routes!$A$5:$A$20,0))</f>
        <v>9.64285714285714</v>
      </c>
      <c r="R14" s="21" t="n">
        <f aca="false">Q14*INDEX(Vehicles!$M$5:$M$16,MATCH($B14,Vehicles!$A$5:$A$16,0))</f>
        <v>1928.57142857143</v>
      </c>
      <c r="S14" s="21" t="n">
        <f aca="false">M14*INDEX(Vehicles!$L$5:$L$16,MATCH($B14,Vehicles!$A$5:$A$16,0))*(1+Settings!$B$19*J14)</f>
        <v>1500</v>
      </c>
      <c r="T14" s="21" t="n">
        <f aca="false">IF(I14&gt;H14,INDEX(Routes!$G$5:$G$20,MATCH($C14,Routes!$A$5:$A$20,0))*Settings!$B$20*(Settings!$B$21+Settings!$B$22*(I14-H14)),0)</f>
        <v>0</v>
      </c>
      <c r="U14" s="21" t="n">
        <f aca="false">G14*Settings!$B$23*M14/100*(1+Settings!$B$24*J14)*Settings!$B$25</f>
        <v>2500</v>
      </c>
      <c r="V14" s="21" t="n">
        <f aca="false">SUM(O14:P14)+SUM(R14:U14)</f>
        <v>16571.4285714286</v>
      </c>
      <c r="W14" s="21" t="n">
        <f aca="false">N14-V14</f>
        <v>39082.3214285714</v>
      </c>
      <c r="X14" s="29" t="n">
        <f aca="false">IF(N14&gt;0,W14/N14,0)</f>
        <v>0.702240575497095</v>
      </c>
      <c r="Y14" s="30" t="n">
        <f aca="false">Q14*60/Settings!$B$9</f>
        <v>9.64285714285714</v>
      </c>
      <c r="Z14" s="21" t="n">
        <f aca="false">IF(Y14&gt;0,W14/Y14*60,0)</f>
        <v>243178.888888889</v>
      </c>
      <c r="AA14" s="30" t="n">
        <f aca="false">IF(Z14&gt;0,G14/Z14,"Never")</f>
        <v>20.5609953349386</v>
      </c>
      <c r="AB14" s="5" t="str">
        <f aca="false">INDEX(Vehicles!$S$5:$S$16,MATCH($B14,Vehicles!$A$5:$A$16,0))&amp;" to "&amp;INDEX(Vehicles!$T$5:$T$16,MATCH($B14,Vehicles!$A$5:$A$16,0))</f>
        <v>20 to 80</v>
      </c>
      <c r="AC14" s="5" t="str">
        <f aca="false">IF(NOT(ISNUMBER(AA14)),"Loses money",IF(AA14&lt;INDEX(Vehicles!$S$5:$S$16,MATCH($B14,Vehicles!$A$5:$A$16,0)),"Too fast",IF(AA14&gt;INDEX(Vehicles!$T$5:$T$16,MATCH($B14,Vehicles!$A$5:$A$16,0)),"Too slow","OK")))</f>
        <v>OK</v>
      </c>
      <c r="AD14" s="30" t="n">
        <f aca="false">24/Q14</f>
        <v>2.48888888888889</v>
      </c>
      <c r="AE14" s="30" t="n">
        <f aca="false">INDEX(Routes!$I$5:$I$20,MATCH($C14,Routes!$A$5:$A$20,0))/(I14*AD14)</f>
        <v>12.6050420168067</v>
      </c>
      <c r="AF14" s="5" t="str">
        <f aca="false">IF(AND(INDEX(Vehicles!$Q$5:$Q$16,MATCH($B14,Vehicles!$A$5:$A$16,0))="No",K14="Line"),"Not allowed on highway",IF(AND(K14="Line",L14&gt;Settings!$B$26),"Line haul too long",IF(ISERROR(SEARCH(","&amp;B14&amp;",",","&amp;INDEX(Cargo!$C$4:$C$15,MATCH($D14,Cargo!$A$4:$A$15,0))&amp;",")),"Cargo not allowed on this vehicle","")))</f>
        <v/>
      </c>
    </row>
    <row r="15" customFormat="false" ht="15" hidden="false" customHeight="false" outlineLevel="0" collapsed="false">
      <c r="A15" s="5" t="s">
        <v>276</v>
      </c>
      <c r="B15" s="22" t="n">
        <v>11</v>
      </c>
      <c r="C15" s="22" t="s">
        <v>217</v>
      </c>
      <c r="D15" s="22" t="s">
        <v>119</v>
      </c>
      <c r="E15" s="23" t="n">
        <v>0</v>
      </c>
      <c r="F15" s="6" t="str">
        <f aca="false">INDEX(Vehicles!$B$5:$B$16,MATCH($B15,Vehicles!$A$5:$A$16,0))</f>
        <v>Bongo Mover 40</v>
      </c>
      <c r="G15" s="7" t="n">
        <f aca="false">INDEX(Vehicles!$E$5:$E$16,MATCH($B15,Vehicles!$A$5:$A$16,0))</f>
        <v>6500000</v>
      </c>
      <c r="H15" s="27" t="n">
        <f aca="false">INDEX(Vehicles!$F$5:$F$16,MATCH($B15,Vehicles!$A$5:$A$16,0))</f>
        <v>28</v>
      </c>
      <c r="I15" s="28" t="n">
        <f aca="false">H15+MAX(0,MIN(E15,INDEX(Vehicles!$G$5:$G$16,MATCH($B15,Vehicles!$A$5:$A$16,0))-H15))</f>
        <v>28</v>
      </c>
      <c r="J15" s="29" t="n">
        <f aca="false">(I15-H15)/H15</f>
        <v>0</v>
      </c>
      <c r="K15" s="6" t="str">
        <f aca="false">INDEX(Routes!$E$5:$E$20,MATCH($C15,Routes!$A$5:$A$20,0))</f>
        <v>Line</v>
      </c>
      <c r="L15" s="7" t="n">
        <f aca="false">INDEX(Routes!$D$5:$D$20,MATCH($C15,Routes!$A$5:$A$20,0))</f>
        <v>250</v>
      </c>
      <c r="M15" s="21" t="n">
        <f aca="false">IF(K15="Local",2*L15,L15)</f>
        <v>250</v>
      </c>
      <c r="N15" s="21" t="n">
        <f aca="false">I15*(Settings!$B$6+Settings!$B$7*L15)*INDEX(Cargo!$B$4:$B$15,MATCH($D15,Cargo!$A$4:$A$15,0))*INDEX(Vehicles!$O$5:$O$16,MATCH($B15,Vehicles!$A$5:$A$16,0))*Settings!$B$8</f>
        <v>73332</v>
      </c>
      <c r="O15" s="21" t="n">
        <f aca="false">M15*INDEX(Vehicles!$K$5:$K$16,MATCH($B15,Vehicles!$A$5:$A$16,0))*(1+Settings!$B$18*J15)</f>
        <v>13500</v>
      </c>
      <c r="P15" s="21" t="n">
        <f aca="false">INDEX(Tolls!$B$5:$F$11,MATCH(INDEX(Vehicles!$P$5:$P$16,MATCH($B15,Vehicles!$A$5:$A$16,0)),Tolls!$A$5:$A$11,0),MATCH(INDEX(Routes!$F$5:$F$20,MATCH($C15,Routes!$A$5:$A$20,0)),Tolls!$B$4:$F$4,0))*IF(K15="Local",2,1)</f>
        <v>2500</v>
      </c>
      <c r="Q15" s="28" t="n">
        <f aca="false">M15/INDEX(Vehicles!$H$5:$H$16,MATCH($B15,Vehicles!$A$5:$A$16,0))+INDEX(Vehicles!$N$5:$N$16,MATCH($B15,Vehicles!$A$5:$A$16,0))+INDEX(Routes!$H$5:$H$20,MATCH($C15,Routes!$A$5:$A$20,0))</f>
        <v>10.6428571428571</v>
      </c>
      <c r="R15" s="21" t="n">
        <f aca="false">Q15*INDEX(Vehicles!$M$5:$M$16,MATCH($B15,Vehicles!$A$5:$A$16,0))</f>
        <v>2341.42857142857</v>
      </c>
      <c r="S15" s="21" t="n">
        <f aca="false">M15*INDEX(Vehicles!$L$5:$L$16,MATCH($B15,Vehicles!$A$5:$A$16,0))*(1+Settings!$B$19*J15)</f>
        <v>2250</v>
      </c>
      <c r="T15" s="21" t="n">
        <f aca="false">IF(I15&gt;H15,INDEX(Routes!$G$5:$G$20,MATCH($C15,Routes!$A$5:$A$20,0))*Settings!$B$20*(Settings!$B$21+Settings!$B$22*(I15-H15)),0)</f>
        <v>0</v>
      </c>
      <c r="U15" s="21" t="n">
        <f aca="false">G15*Settings!$B$23*M15/100*(1+Settings!$B$24*J15)*Settings!$B$25</f>
        <v>3250</v>
      </c>
      <c r="V15" s="21" t="n">
        <f aca="false">SUM(O15:P15)+SUM(R15:U15)</f>
        <v>23841.4285714286</v>
      </c>
      <c r="W15" s="21" t="n">
        <f aca="false">N15-V15</f>
        <v>49490.5714285714</v>
      </c>
      <c r="X15" s="29" t="n">
        <f aca="false">IF(N15&gt;0,W15/N15,0)</f>
        <v>0.674883699184141</v>
      </c>
      <c r="Y15" s="30" t="n">
        <f aca="false">Q15*60/Settings!$B$9</f>
        <v>10.6428571428571</v>
      </c>
      <c r="Z15" s="21" t="n">
        <f aca="false">IF(Y15&gt;0,W15/Y15*60,0)</f>
        <v>279007.248322148</v>
      </c>
      <c r="AA15" s="30" t="n">
        <f aca="false">IF(Z15&gt;0,G15/Z15,"Never")</f>
        <v>23.2968857945044</v>
      </c>
      <c r="AB15" s="5" t="str">
        <f aca="false">INDEX(Vehicles!$S$5:$S$16,MATCH($B15,Vehicles!$A$5:$A$16,0))&amp;" to "&amp;INDEX(Vehicles!$T$5:$T$16,MATCH($B15,Vehicles!$A$5:$A$16,0))</f>
        <v>20 to 80</v>
      </c>
      <c r="AC15" s="5" t="str">
        <f aca="false">IF(NOT(ISNUMBER(AA15)),"Loses money",IF(AA15&lt;INDEX(Vehicles!$S$5:$S$16,MATCH($B15,Vehicles!$A$5:$A$16,0)),"Too fast",IF(AA15&gt;INDEX(Vehicles!$T$5:$T$16,MATCH($B15,Vehicles!$A$5:$A$16,0)),"Too slow","OK")))</f>
        <v>OK</v>
      </c>
      <c r="AD15" s="30" t="n">
        <f aca="false">24/Q15</f>
        <v>2.25503355704698</v>
      </c>
      <c r="AE15" s="30" t="n">
        <f aca="false">INDEX(Routes!$I$5:$I$20,MATCH($C15,Routes!$A$5:$A$20,0))/(I15*AD15)</f>
        <v>6.33503401360544</v>
      </c>
      <c r="AF15" s="5" t="str">
        <f aca="false">IF(AND(INDEX(Vehicles!$Q$5:$Q$16,MATCH($B15,Vehicles!$A$5:$A$16,0))="No",K15="Line"),"Not allowed on highway",IF(AND(K15="Line",L15&gt;Settings!$B$26),"Line haul too long",IF(ISERROR(SEARCH(","&amp;B15&amp;",",","&amp;INDEX(Cargo!$C$4:$C$15,MATCH($D15,Cargo!$A$4:$A$15,0))&amp;",")),"Cargo not allowed on this vehicle","")))</f>
        <v/>
      </c>
    </row>
    <row r="16" customFormat="false" ht="15" hidden="false" customHeight="false" outlineLevel="0" collapsed="false">
      <c r="A16" s="5" t="s">
        <v>277</v>
      </c>
      <c r="B16" s="22" t="n">
        <v>12</v>
      </c>
      <c r="C16" s="22" t="s">
        <v>217</v>
      </c>
      <c r="D16" s="22" t="s">
        <v>122</v>
      </c>
      <c r="E16" s="23" t="n">
        <v>0</v>
      </c>
      <c r="F16" s="6" t="str">
        <f aca="false">INDEX(Vehicles!$B$5:$B$16,MATCH($B16,Vehicles!$A$5:$A$16,0))</f>
        <v>Hati Lowbed</v>
      </c>
      <c r="G16" s="7" t="n">
        <f aca="false">INDEX(Vehicles!$E$5:$E$16,MATCH($B16,Vehicles!$A$5:$A$16,0))</f>
        <v>8000000</v>
      </c>
      <c r="H16" s="27" t="n">
        <f aca="false">INDEX(Vehicles!$F$5:$F$16,MATCH($B16,Vehicles!$A$5:$A$16,0))</f>
        <v>40</v>
      </c>
      <c r="I16" s="28" t="n">
        <f aca="false">H16+MAX(0,MIN(E16,INDEX(Vehicles!$G$5:$G$16,MATCH($B16,Vehicles!$A$5:$A$16,0))-H16))</f>
        <v>40</v>
      </c>
      <c r="J16" s="29" t="n">
        <f aca="false">(I16-H16)/H16</f>
        <v>0</v>
      </c>
      <c r="K16" s="6" t="str">
        <f aca="false">INDEX(Routes!$E$5:$E$20,MATCH($C16,Routes!$A$5:$A$20,0))</f>
        <v>Line</v>
      </c>
      <c r="L16" s="7" t="n">
        <f aca="false">INDEX(Routes!$D$5:$D$20,MATCH($C16,Routes!$A$5:$A$20,0))</f>
        <v>250</v>
      </c>
      <c r="M16" s="21" t="n">
        <f aca="false">IF(K16="Local",2*L16,L16)</f>
        <v>250</v>
      </c>
      <c r="N16" s="21" t="n">
        <f aca="false">I16*(Settings!$B$6+Settings!$B$7*L16)*INDEX(Cargo!$B$4:$B$15,MATCH($D16,Cargo!$A$4:$A$15,0))*INDEX(Vehicles!$O$5:$O$16,MATCH($B16,Vehicles!$A$5:$A$16,0))*Settings!$B$8</f>
        <v>104760</v>
      </c>
      <c r="O16" s="21" t="n">
        <f aca="false">M16*INDEX(Vehicles!$K$5:$K$16,MATCH($B16,Vehicles!$A$5:$A$16,0))*(1+Settings!$B$18*J16)</f>
        <v>16875</v>
      </c>
      <c r="P16" s="21" t="n">
        <f aca="false">INDEX(Tolls!$B$5:$F$11,MATCH(INDEX(Vehicles!$P$5:$P$16,MATCH($B16,Vehicles!$A$5:$A$16,0)),Tolls!$A$5:$A$11,0),MATCH(INDEX(Routes!$F$5:$F$20,MATCH($C16,Routes!$A$5:$A$20,0)),Tolls!$B$4:$F$4,0))*IF(K16="Local",2,1)</f>
        <v>3000</v>
      </c>
      <c r="Q16" s="28" t="n">
        <f aca="false">M16/INDEX(Vehicles!$H$5:$H$16,MATCH($B16,Vehicles!$A$5:$A$16,0))+INDEX(Vehicles!$N$5:$N$16,MATCH($B16,Vehicles!$A$5:$A$16,0))+INDEX(Routes!$H$5:$H$20,MATCH($C16,Routes!$A$5:$A$20,0))</f>
        <v>14</v>
      </c>
      <c r="R16" s="21" t="n">
        <f aca="false">Q16*INDEX(Vehicles!$M$5:$M$16,MATCH($B16,Vehicles!$A$5:$A$16,0))</f>
        <v>3640</v>
      </c>
      <c r="S16" s="21" t="n">
        <f aca="false">M16*INDEX(Vehicles!$L$5:$L$16,MATCH($B16,Vehicles!$A$5:$A$16,0))*(1+Settings!$B$19*J16)</f>
        <v>3000</v>
      </c>
      <c r="T16" s="21" t="n">
        <f aca="false">IF(I16&gt;H16,INDEX(Routes!$G$5:$G$20,MATCH($C16,Routes!$A$5:$A$20,0))*Settings!$B$20*(Settings!$B$21+Settings!$B$22*(I16-H16)),0)</f>
        <v>0</v>
      </c>
      <c r="U16" s="21" t="n">
        <f aca="false">G16*Settings!$B$23*M16/100*(1+Settings!$B$24*J16)*Settings!$B$25</f>
        <v>4000</v>
      </c>
      <c r="V16" s="21" t="n">
        <f aca="false">SUM(O16:P16)+SUM(R16:U16)</f>
        <v>30515</v>
      </c>
      <c r="W16" s="21" t="n">
        <f aca="false">N16-V16</f>
        <v>74245</v>
      </c>
      <c r="X16" s="29" t="n">
        <f aca="false">IF(N16&gt;0,W16/N16,0)</f>
        <v>0.708715158457427</v>
      </c>
      <c r="Y16" s="30" t="n">
        <f aca="false">Q16*60/Settings!$B$9</f>
        <v>14</v>
      </c>
      <c r="Z16" s="21" t="n">
        <f aca="false">IF(Y16&gt;0,W16/Y16*60,0)</f>
        <v>318192.857142857</v>
      </c>
      <c r="AA16" s="30" t="n">
        <f aca="false">IF(Z16&gt;0,G16/Z16,"Never")</f>
        <v>25.1419848699127</v>
      </c>
      <c r="AB16" s="5" t="str">
        <f aca="false">INDEX(Vehicles!$S$5:$S$16,MATCH($B16,Vehicles!$A$5:$A$16,0))&amp;" to "&amp;INDEX(Vehicles!$T$5:$T$16,MATCH($B16,Vehicles!$A$5:$A$16,0))</f>
        <v>20 to 80</v>
      </c>
      <c r="AC16" s="5" t="str">
        <f aca="false">IF(NOT(ISNUMBER(AA16)),"Loses money",IF(AA16&lt;INDEX(Vehicles!$S$5:$S$16,MATCH($B16,Vehicles!$A$5:$A$16,0)),"Too fast",IF(AA16&gt;INDEX(Vehicles!$T$5:$T$16,MATCH($B16,Vehicles!$A$5:$A$16,0)),"Too slow","OK")))</f>
        <v>OK</v>
      </c>
      <c r="AD16" s="30" t="n">
        <f aca="false">24/Q16</f>
        <v>1.71428571428571</v>
      </c>
      <c r="AE16" s="30" t="n">
        <f aca="false">INDEX(Routes!$I$5:$I$20,MATCH($C16,Routes!$A$5:$A$20,0))/(I16*AD16)</f>
        <v>5.83333333333333</v>
      </c>
      <c r="AF16" s="5" t="str">
        <f aca="false">IF(AND(INDEX(Vehicles!$Q$5:$Q$16,MATCH($B16,Vehicles!$A$5:$A$16,0))="No",K16="Line"),"Not allowed on highway",IF(AND(K16="Line",L16&gt;Settings!$B$26),"Line haul too long",IF(ISERROR(SEARCH(","&amp;B16&amp;",",","&amp;INDEX(Cargo!$C$4:$C$15,MATCH($D16,Cargo!$A$4:$A$15,0))&amp;",")),"Cargo not allowed on this vehicle","")))</f>
        <v/>
      </c>
    </row>
    <row r="17" customFormat="false" ht="15" hidden="false" customHeight="false" outlineLevel="0" collapsed="false">
      <c r="A17" s="5" t="s">
        <v>278</v>
      </c>
      <c r="B17" s="22" t="n">
        <v>6</v>
      </c>
      <c r="C17" s="22" t="s">
        <v>217</v>
      </c>
      <c r="D17" s="22" t="s">
        <v>105</v>
      </c>
      <c r="E17" s="23" t="n">
        <v>0</v>
      </c>
      <c r="F17" s="6" t="str">
        <f aca="false">INDEX(Vehicles!$B$5:$B$16,MATCH($B17,Vehicles!$A$5:$A$16,0))</f>
        <v>Jamuna Open</v>
      </c>
      <c r="G17" s="7" t="n">
        <f aca="false">INDEX(Vehicles!$E$5:$E$16,MATCH($B17,Vehicles!$A$5:$A$16,0))</f>
        <v>3200000</v>
      </c>
      <c r="H17" s="27" t="n">
        <f aca="false">INDEX(Vehicles!$F$5:$F$16,MATCH($B17,Vehicles!$A$5:$A$16,0))</f>
        <v>10</v>
      </c>
      <c r="I17" s="28" t="n">
        <f aca="false">H17+MAX(0,MIN(E17,INDEX(Vehicles!$G$5:$G$16,MATCH($B17,Vehicles!$A$5:$A$16,0))-H17))</f>
        <v>10</v>
      </c>
      <c r="J17" s="29" t="n">
        <f aca="false">(I17-H17)/H17</f>
        <v>0</v>
      </c>
      <c r="K17" s="6" t="str">
        <f aca="false">INDEX(Routes!$E$5:$E$20,MATCH($C17,Routes!$A$5:$A$20,0))</f>
        <v>Line</v>
      </c>
      <c r="L17" s="7" t="n">
        <f aca="false">INDEX(Routes!$D$5:$D$20,MATCH($C17,Routes!$A$5:$A$20,0))</f>
        <v>250</v>
      </c>
      <c r="M17" s="21" t="n">
        <f aca="false">IF(K17="Local",2*L17,L17)</f>
        <v>250</v>
      </c>
      <c r="N17" s="21" t="n">
        <f aca="false">I17*(Settings!$B$6+Settings!$B$7*L17)*INDEX(Cargo!$B$4:$B$15,MATCH($D17,Cargo!$A$4:$A$15,0))*INDEX(Vehicles!$O$5:$O$16,MATCH($B17,Vehicles!$A$5:$A$16,0))*Settings!$B$8</f>
        <v>36375</v>
      </c>
      <c r="O17" s="21" t="n">
        <f aca="false">M17*INDEX(Vehicles!$K$5:$K$16,MATCH($B17,Vehicles!$A$5:$A$16,0))*(1+Settings!$B$18*J17)</f>
        <v>7500</v>
      </c>
      <c r="P17" s="21" t="n">
        <f aca="false">INDEX(Tolls!$B$5:$F$11,MATCH(INDEX(Vehicles!$P$5:$P$16,MATCH($B17,Vehicles!$A$5:$A$16,0)),Tolls!$A$5:$A$11,0),MATCH(INDEX(Routes!$F$5:$F$20,MATCH($C17,Routes!$A$5:$A$20,0)),Tolls!$B$4:$F$4,0))*IF(K17="Local",2,1)</f>
        <v>800</v>
      </c>
      <c r="Q17" s="28" t="n">
        <f aca="false">M17/INDEX(Vehicles!$H$5:$H$16,MATCH($B17,Vehicles!$A$5:$A$16,0))+INDEX(Vehicles!$N$5:$N$16,MATCH($B17,Vehicles!$A$5:$A$16,0))+INDEX(Routes!$H$5:$H$20,MATCH($C17,Routes!$A$5:$A$20,0))</f>
        <v>9.25</v>
      </c>
      <c r="R17" s="21" t="n">
        <f aca="false">Q17*INDEX(Vehicles!$M$5:$M$16,MATCH($B17,Vehicles!$A$5:$A$16,0))</f>
        <v>1480</v>
      </c>
      <c r="S17" s="21" t="n">
        <f aca="false">M17*INDEX(Vehicles!$L$5:$L$16,MATCH($B17,Vehicles!$A$5:$A$16,0))*(1+Settings!$B$19*J17)</f>
        <v>1000</v>
      </c>
      <c r="T17" s="21" t="n">
        <f aca="false">IF(I17&gt;H17,INDEX(Routes!$G$5:$G$20,MATCH($C17,Routes!$A$5:$A$20,0))*Settings!$B$20*(Settings!$B$21+Settings!$B$22*(I17-H17)),0)</f>
        <v>0</v>
      </c>
      <c r="U17" s="21" t="n">
        <f aca="false">G17*Settings!$B$23*M17/100*(1+Settings!$B$24*J17)*Settings!$B$25</f>
        <v>1600</v>
      </c>
      <c r="V17" s="21" t="n">
        <f aca="false">SUM(O17:P17)+SUM(R17:U17)</f>
        <v>12380</v>
      </c>
      <c r="W17" s="21" t="n">
        <f aca="false">N17-V17</f>
        <v>23995</v>
      </c>
      <c r="X17" s="29" t="n">
        <f aca="false">IF(N17&gt;0,W17/N17,0)</f>
        <v>0.659656357388316</v>
      </c>
      <c r="Y17" s="30" t="n">
        <f aca="false">Q17*60/Settings!$B$9</f>
        <v>9.25</v>
      </c>
      <c r="Z17" s="21" t="n">
        <f aca="false">IF(Y17&gt;0,W17/Y17*60,0)</f>
        <v>155643.243243243</v>
      </c>
      <c r="AA17" s="30" t="n">
        <f aca="false">IF(Z17&gt;0,G17/Z17,"Never")</f>
        <v>20.5598388553171</v>
      </c>
      <c r="AB17" s="5" t="str">
        <f aca="false">INDEX(Vehicles!$S$5:$S$16,MATCH($B17,Vehicles!$A$5:$A$16,0))&amp;" to "&amp;INDEX(Vehicles!$T$5:$T$16,MATCH($B17,Vehicles!$A$5:$A$16,0))</f>
        <v>10 to 40</v>
      </c>
      <c r="AC17" s="5" t="str">
        <f aca="false">IF(NOT(ISNUMBER(AA17)),"Loses money",IF(AA17&lt;INDEX(Vehicles!$S$5:$S$16,MATCH($B17,Vehicles!$A$5:$A$16,0)),"Too fast",IF(AA17&gt;INDEX(Vehicles!$T$5:$T$16,MATCH($B17,Vehicles!$A$5:$A$16,0)),"Too slow","OK")))</f>
        <v>OK</v>
      </c>
      <c r="AD17" s="30" t="n">
        <f aca="false">24/Q17</f>
        <v>2.59459459459459</v>
      </c>
      <c r="AE17" s="30" t="n">
        <f aca="false">INDEX(Routes!$I$5:$I$20,MATCH($C17,Routes!$A$5:$A$20,0))/(I17*AD17)</f>
        <v>15.4166666666667</v>
      </c>
      <c r="AF17" s="5" t="str">
        <f aca="false">IF(AND(INDEX(Vehicles!$Q$5:$Q$16,MATCH($B17,Vehicles!$A$5:$A$16,0))="No",K17="Line"),"Not allowed on highway",IF(AND(K17="Line",L17&gt;Settings!$B$26),"Line haul too long",IF(ISERROR(SEARCH(","&amp;B17&amp;",",","&amp;INDEX(Cargo!$C$4:$C$15,MATCH($D17,Cargo!$A$4:$A$15,0))&amp;",")),"Cargo not allowed on this vehicle","")))</f>
        <v/>
      </c>
    </row>
    <row r="18" customFormat="false" ht="15" hidden="false" customHeight="false" outlineLevel="0" collapsed="false">
      <c r="A18" s="5" t="s">
        <v>279</v>
      </c>
      <c r="B18" s="22" t="n">
        <v>6</v>
      </c>
      <c r="C18" s="22" t="s">
        <v>217</v>
      </c>
      <c r="D18" s="22" t="s">
        <v>105</v>
      </c>
      <c r="E18" s="23" t="n">
        <v>8</v>
      </c>
      <c r="F18" s="6" t="str">
        <f aca="false">INDEX(Vehicles!$B$5:$B$16,MATCH($B18,Vehicles!$A$5:$A$16,0))</f>
        <v>Jamuna Open</v>
      </c>
      <c r="G18" s="7" t="n">
        <f aca="false">INDEX(Vehicles!$E$5:$E$16,MATCH($B18,Vehicles!$A$5:$A$16,0))</f>
        <v>3200000</v>
      </c>
      <c r="H18" s="27" t="n">
        <f aca="false">INDEX(Vehicles!$F$5:$F$16,MATCH($B18,Vehicles!$A$5:$A$16,0))</f>
        <v>10</v>
      </c>
      <c r="I18" s="28" t="n">
        <f aca="false">H18+MAX(0,MIN(E18,INDEX(Vehicles!$G$5:$G$16,MATCH($B18,Vehicles!$A$5:$A$16,0))-H18))</f>
        <v>18</v>
      </c>
      <c r="J18" s="29" t="n">
        <f aca="false">(I18-H18)/H18</f>
        <v>0.8</v>
      </c>
      <c r="K18" s="6" t="str">
        <f aca="false">INDEX(Routes!$E$5:$E$20,MATCH($C18,Routes!$A$5:$A$20,0))</f>
        <v>Line</v>
      </c>
      <c r="L18" s="7" t="n">
        <f aca="false">INDEX(Routes!$D$5:$D$20,MATCH($C18,Routes!$A$5:$A$20,0))</f>
        <v>250</v>
      </c>
      <c r="M18" s="21" t="n">
        <f aca="false">IF(K18="Local",2*L18,L18)</f>
        <v>250</v>
      </c>
      <c r="N18" s="21" t="n">
        <f aca="false">I18*(Settings!$B$6+Settings!$B$7*L18)*INDEX(Cargo!$B$4:$B$15,MATCH($D18,Cargo!$A$4:$A$15,0))*INDEX(Vehicles!$O$5:$O$16,MATCH($B18,Vehicles!$A$5:$A$16,0))*Settings!$B$8</f>
        <v>65475</v>
      </c>
      <c r="O18" s="21" t="n">
        <f aca="false">M18*INDEX(Vehicles!$K$5:$K$16,MATCH($B18,Vehicles!$A$5:$A$16,0))*(1+Settings!$B$18*J18)</f>
        <v>9300</v>
      </c>
      <c r="P18" s="21" t="n">
        <f aca="false">INDEX(Tolls!$B$5:$F$11,MATCH(INDEX(Vehicles!$P$5:$P$16,MATCH($B18,Vehicles!$A$5:$A$16,0)),Tolls!$A$5:$A$11,0),MATCH(INDEX(Routes!$F$5:$F$20,MATCH($C18,Routes!$A$5:$A$20,0)),Tolls!$B$4:$F$4,0))*IF(K18="Local",2,1)</f>
        <v>800</v>
      </c>
      <c r="Q18" s="28" t="n">
        <f aca="false">M18/INDEX(Vehicles!$H$5:$H$16,MATCH($B18,Vehicles!$A$5:$A$16,0))+INDEX(Vehicles!$N$5:$N$16,MATCH($B18,Vehicles!$A$5:$A$16,0))+INDEX(Routes!$H$5:$H$20,MATCH($C18,Routes!$A$5:$A$20,0))</f>
        <v>9.25</v>
      </c>
      <c r="R18" s="21" t="n">
        <f aca="false">Q18*INDEX(Vehicles!$M$5:$M$16,MATCH($B18,Vehicles!$A$5:$A$16,0))</f>
        <v>1480</v>
      </c>
      <c r="S18" s="21" t="n">
        <f aca="false">M18*INDEX(Vehicles!$L$5:$L$16,MATCH($B18,Vehicles!$A$5:$A$16,0))*(1+Settings!$B$19*J18)</f>
        <v>2200</v>
      </c>
      <c r="T18" s="21" t="n">
        <f aca="false">IF(I18&gt;H18,INDEX(Routes!$G$5:$G$20,MATCH($C18,Routes!$A$5:$A$20,0))*Settings!$B$20*(Settings!$B$21+Settings!$B$22*(I18-H18)),0)</f>
        <v>14700</v>
      </c>
      <c r="U18" s="21" t="n">
        <f aca="false">G18*Settings!$B$23*M18/100*(1+Settings!$B$24*J18)*Settings!$B$25</f>
        <v>6720</v>
      </c>
      <c r="V18" s="21" t="n">
        <f aca="false">SUM(O18:P18)+SUM(R18:U18)</f>
        <v>35200</v>
      </c>
      <c r="W18" s="21" t="n">
        <f aca="false">N18-V18</f>
        <v>30275</v>
      </c>
      <c r="X18" s="29" t="n">
        <f aca="false">IF(N18&gt;0,W18/N18,0)</f>
        <v>0.462390225276823</v>
      </c>
      <c r="Y18" s="30" t="n">
        <f aca="false">Q18*60/Settings!$B$9</f>
        <v>9.25</v>
      </c>
      <c r="Z18" s="21" t="n">
        <f aca="false">IF(Y18&gt;0,W18/Y18*60,0)</f>
        <v>196378.378378378</v>
      </c>
      <c r="AA18" s="30" t="n">
        <f aca="false">IF(Z18&gt;0,G18/Z18,"Never")</f>
        <v>16.2950729424718</v>
      </c>
      <c r="AB18" s="5" t="str">
        <f aca="false">INDEX(Vehicles!$S$5:$S$16,MATCH($B18,Vehicles!$A$5:$A$16,0))&amp;" to "&amp;INDEX(Vehicles!$T$5:$T$16,MATCH($B18,Vehicles!$A$5:$A$16,0))</f>
        <v>10 to 40</v>
      </c>
      <c r="AC18" s="5" t="str">
        <f aca="false">IF(NOT(ISNUMBER(AA18)),"Loses money",IF(AA18&lt;INDEX(Vehicles!$S$5:$S$16,MATCH($B18,Vehicles!$A$5:$A$16,0)),"Too fast",IF(AA18&gt;INDEX(Vehicles!$T$5:$T$16,MATCH($B18,Vehicles!$A$5:$A$16,0)),"Too slow","OK")))</f>
        <v>OK</v>
      </c>
      <c r="AD18" s="30" t="n">
        <f aca="false">24/Q18</f>
        <v>2.59459459459459</v>
      </c>
      <c r="AE18" s="30" t="n">
        <f aca="false">INDEX(Routes!$I$5:$I$20,MATCH($C18,Routes!$A$5:$A$20,0))/(I18*AD18)</f>
        <v>8.56481481481481</v>
      </c>
      <c r="AF18" s="5" t="str">
        <f aca="false">IF(AND(INDEX(Vehicles!$Q$5:$Q$16,MATCH($B18,Vehicles!$A$5:$A$16,0))="No",K18="Line"),"Not allowed on highway",IF(AND(K18="Line",L18&gt;Settings!$B$26),"Line haul too long",IF(ISERROR(SEARCH(","&amp;B18&amp;",",","&amp;INDEX(Cargo!$C$4:$C$15,MATCH($D18,Cargo!$A$4:$A$15,0))&amp;",")),"Cargo not allowed on this vehicle","")))</f>
        <v/>
      </c>
    </row>
    <row r="19" customFormat="false" ht="15" hidden="false" customHeight="false" outlineLevel="0" collapsed="false">
      <c r="A19" s="5" t="s">
        <v>280</v>
      </c>
      <c r="B19" s="22" t="n">
        <v>6</v>
      </c>
      <c r="C19" s="22" t="s">
        <v>217</v>
      </c>
      <c r="D19" s="22" t="s">
        <v>105</v>
      </c>
      <c r="E19" s="23" t="n">
        <v>12</v>
      </c>
      <c r="F19" s="6" t="str">
        <f aca="false">INDEX(Vehicles!$B$5:$B$16,MATCH($B19,Vehicles!$A$5:$A$16,0))</f>
        <v>Jamuna Open</v>
      </c>
      <c r="G19" s="7" t="n">
        <f aca="false">INDEX(Vehicles!$E$5:$E$16,MATCH($B19,Vehicles!$A$5:$A$16,0))</f>
        <v>3200000</v>
      </c>
      <c r="H19" s="27" t="n">
        <f aca="false">INDEX(Vehicles!$F$5:$F$16,MATCH($B19,Vehicles!$A$5:$A$16,0))</f>
        <v>10</v>
      </c>
      <c r="I19" s="28" t="n">
        <f aca="false">H19+MAX(0,MIN(E19,INDEX(Vehicles!$G$5:$G$16,MATCH($B19,Vehicles!$A$5:$A$16,0))-H19))</f>
        <v>22</v>
      </c>
      <c r="J19" s="29" t="n">
        <f aca="false">(I19-H19)/H19</f>
        <v>1.2</v>
      </c>
      <c r="K19" s="6" t="str">
        <f aca="false">INDEX(Routes!$E$5:$E$20,MATCH($C19,Routes!$A$5:$A$20,0))</f>
        <v>Line</v>
      </c>
      <c r="L19" s="7" t="n">
        <f aca="false">INDEX(Routes!$D$5:$D$20,MATCH($C19,Routes!$A$5:$A$20,0))</f>
        <v>250</v>
      </c>
      <c r="M19" s="21" t="n">
        <f aca="false">IF(K19="Local",2*L19,L19)</f>
        <v>250</v>
      </c>
      <c r="N19" s="21" t="n">
        <f aca="false">I19*(Settings!$B$6+Settings!$B$7*L19)*INDEX(Cargo!$B$4:$B$15,MATCH($D19,Cargo!$A$4:$A$15,0))*INDEX(Vehicles!$O$5:$O$16,MATCH($B19,Vehicles!$A$5:$A$16,0))*Settings!$B$8</f>
        <v>80025</v>
      </c>
      <c r="O19" s="21" t="n">
        <f aca="false">M19*INDEX(Vehicles!$K$5:$K$16,MATCH($B19,Vehicles!$A$5:$A$16,0))*(1+Settings!$B$18*J19)</f>
        <v>10200</v>
      </c>
      <c r="P19" s="21" t="n">
        <f aca="false">INDEX(Tolls!$B$5:$F$11,MATCH(INDEX(Vehicles!$P$5:$P$16,MATCH($B19,Vehicles!$A$5:$A$16,0)),Tolls!$A$5:$A$11,0),MATCH(INDEX(Routes!$F$5:$F$20,MATCH($C19,Routes!$A$5:$A$20,0)),Tolls!$B$4:$F$4,0))*IF(K19="Local",2,1)</f>
        <v>800</v>
      </c>
      <c r="Q19" s="28" t="n">
        <f aca="false">M19/INDEX(Vehicles!$H$5:$H$16,MATCH($B19,Vehicles!$A$5:$A$16,0))+INDEX(Vehicles!$N$5:$N$16,MATCH($B19,Vehicles!$A$5:$A$16,0))+INDEX(Routes!$H$5:$H$20,MATCH($C19,Routes!$A$5:$A$20,0))</f>
        <v>9.25</v>
      </c>
      <c r="R19" s="21" t="n">
        <f aca="false">Q19*INDEX(Vehicles!$M$5:$M$16,MATCH($B19,Vehicles!$A$5:$A$16,0))</f>
        <v>1480</v>
      </c>
      <c r="S19" s="21" t="n">
        <f aca="false">M19*INDEX(Vehicles!$L$5:$L$16,MATCH($B19,Vehicles!$A$5:$A$16,0))*(1+Settings!$B$19*J19)</f>
        <v>2800</v>
      </c>
      <c r="T19" s="21" t="n">
        <f aca="false">IF(I19&gt;H19,INDEX(Routes!$G$5:$G$20,MATCH($C19,Routes!$A$5:$A$20,0))*Settings!$B$20*(Settings!$B$21+Settings!$B$22*(I19-H19)),0)</f>
        <v>20300</v>
      </c>
      <c r="U19" s="21" t="n">
        <f aca="false">G19*Settings!$B$23*M19/100*(1+Settings!$B$24*J19)*Settings!$B$25</f>
        <v>9280</v>
      </c>
      <c r="V19" s="21" t="n">
        <f aca="false">SUM(O19:P19)+SUM(R19:U19)</f>
        <v>44860</v>
      </c>
      <c r="W19" s="21" t="n">
        <f aca="false">N19-V19</f>
        <v>35165</v>
      </c>
      <c r="X19" s="29" t="n">
        <f aca="false">IF(N19&gt;0,W19/N19,0)</f>
        <v>0.439425179631365</v>
      </c>
      <c r="Y19" s="30" t="n">
        <f aca="false">Q19*60/Settings!$B$9</f>
        <v>9.25</v>
      </c>
      <c r="Z19" s="21" t="n">
        <f aca="false">IF(Y19&gt;0,W19/Y19*60,0)</f>
        <v>228097.297297297</v>
      </c>
      <c r="AA19" s="30" t="n">
        <f aca="false">IF(Z19&gt;0,G19/Z19,"Never")</f>
        <v>14.0291009052562</v>
      </c>
      <c r="AB19" s="5" t="str">
        <f aca="false">INDEX(Vehicles!$S$5:$S$16,MATCH($B19,Vehicles!$A$5:$A$16,0))&amp;" to "&amp;INDEX(Vehicles!$T$5:$T$16,MATCH($B19,Vehicles!$A$5:$A$16,0))</f>
        <v>10 to 40</v>
      </c>
      <c r="AC19" s="5" t="str">
        <f aca="false">IF(NOT(ISNUMBER(AA19)),"Loses money",IF(AA19&lt;INDEX(Vehicles!$S$5:$S$16,MATCH($B19,Vehicles!$A$5:$A$16,0)),"Too fast",IF(AA19&gt;INDEX(Vehicles!$T$5:$T$16,MATCH($B19,Vehicles!$A$5:$A$16,0)),"Too slow","OK")))</f>
        <v>OK</v>
      </c>
      <c r="AD19" s="30" t="n">
        <f aca="false">24/Q19</f>
        <v>2.59459459459459</v>
      </c>
      <c r="AE19" s="30" t="n">
        <f aca="false">INDEX(Routes!$I$5:$I$20,MATCH($C19,Routes!$A$5:$A$20,0))/(I19*AD19)</f>
        <v>7.00757575757576</v>
      </c>
      <c r="AF19" s="5" t="str">
        <f aca="false">IF(AND(INDEX(Vehicles!$Q$5:$Q$16,MATCH($B19,Vehicles!$A$5:$A$16,0))="No",K19="Line"),"Not allowed on highway",IF(AND(K19="Line",L19&gt;Settings!$B$26),"Line haul too long",IF(ISERROR(SEARCH(","&amp;B19&amp;",",","&amp;INDEX(Cargo!$C$4:$C$15,MATCH($D19,Cargo!$A$4:$A$15,0))&amp;",")),"Cargo not allowed on this vehicle","")))</f>
        <v/>
      </c>
    </row>
    <row r="20" customFormat="false" ht="15" hidden="false" customHeight="false" outlineLevel="0" collapsed="false">
      <c r="A20" s="5" t="s">
        <v>281</v>
      </c>
      <c r="B20" s="22" t="n">
        <v>6</v>
      </c>
      <c r="C20" s="22" t="s">
        <v>222</v>
      </c>
      <c r="D20" s="22" t="s">
        <v>105</v>
      </c>
      <c r="E20" s="23" t="n">
        <v>12</v>
      </c>
      <c r="F20" s="6" t="str">
        <f aca="false">INDEX(Vehicles!$B$5:$B$16,MATCH($B20,Vehicles!$A$5:$A$16,0))</f>
        <v>Jamuna Open</v>
      </c>
      <c r="G20" s="7" t="n">
        <f aca="false">INDEX(Vehicles!$E$5:$E$16,MATCH($B20,Vehicles!$A$5:$A$16,0))</f>
        <v>3200000</v>
      </c>
      <c r="H20" s="27" t="n">
        <f aca="false">INDEX(Vehicles!$F$5:$F$16,MATCH($B20,Vehicles!$A$5:$A$16,0))</f>
        <v>10</v>
      </c>
      <c r="I20" s="28" t="n">
        <f aca="false">H20+MAX(0,MIN(E20,INDEX(Vehicles!$G$5:$G$16,MATCH($B20,Vehicles!$A$5:$A$16,0))-H20))</f>
        <v>22</v>
      </c>
      <c r="J20" s="29" t="n">
        <f aca="false">(I20-H20)/H20</f>
        <v>1.2</v>
      </c>
      <c r="K20" s="6" t="str">
        <f aca="false">INDEX(Routes!$E$5:$E$20,MATCH($C20,Routes!$A$5:$A$20,0))</f>
        <v>Line</v>
      </c>
      <c r="L20" s="7" t="n">
        <f aca="false">INDEX(Routes!$D$5:$D$20,MATCH($C20,Routes!$A$5:$A$20,0))</f>
        <v>240</v>
      </c>
      <c r="M20" s="21" t="n">
        <f aca="false">IF(K20="Local",2*L20,L20)</f>
        <v>240</v>
      </c>
      <c r="N20" s="21" t="n">
        <f aca="false">I20*(Settings!$B$6+Settings!$B$7*L20)*INDEX(Cargo!$B$4:$B$15,MATCH($D20,Cargo!$A$4:$A$15,0))*INDEX(Vehicles!$O$5:$O$16,MATCH($B20,Vehicles!$A$5:$A$16,0))*Settings!$B$8</f>
        <v>77220</v>
      </c>
      <c r="O20" s="21" t="n">
        <f aca="false">M20*INDEX(Vehicles!$K$5:$K$16,MATCH($B20,Vehicles!$A$5:$A$16,0))*(1+Settings!$B$18*J20)</f>
        <v>9792</v>
      </c>
      <c r="P20" s="21" t="n">
        <f aca="false">INDEX(Tolls!$B$5:$F$11,MATCH(INDEX(Vehicles!$P$5:$P$16,MATCH($B20,Vehicles!$A$5:$A$16,0)),Tolls!$A$5:$A$11,0),MATCH(INDEX(Routes!$F$5:$F$20,MATCH($C20,Routes!$A$5:$A$20,0)),Tolls!$B$4:$F$4,0))*IF(K20="Local",2,1)</f>
        <v>0</v>
      </c>
      <c r="Q20" s="28" t="n">
        <f aca="false">M20/INDEX(Vehicles!$H$5:$H$16,MATCH($B20,Vehicles!$A$5:$A$16,0))+INDEX(Vehicles!$N$5:$N$16,MATCH($B20,Vehicles!$A$5:$A$16,0))+INDEX(Routes!$H$5:$H$20,MATCH($C20,Routes!$A$5:$A$20,0))</f>
        <v>8.5</v>
      </c>
      <c r="R20" s="21" t="n">
        <f aca="false">Q20*INDEX(Vehicles!$M$5:$M$16,MATCH($B20,Vehicles!$A$5:$A$16,0))</f>
        <v>1360</v>
      </c>
      <c r="S20" s="21" t="n">
        <f aca="false">M20*INDEX(Vehicles!$L$5:$L$16,MATCH($B20,Vehicles!$A$5:$A$16,0))*(1+Settings!$B$19*J20)</f>
        <v>2688</v>
      </c>
      <c r="T20" s="21" t="n">
        <f aca="false">IF(I20&gt;H20,INDEX(Routes!$G$5:$G$20,MATCH($C20,Routes!$A$5:$A$20,0))*Settings!$B$20*(Settings!$B$21+Settings!$B$22*(I20-H20)),0)</f>
        <v>0</v>
      </c>
      <c r="U20" s="21" t="n">
        <f aca="false">G20*Settings!$B$23*M20/100*(1+Settings!$B$24*J20)*Settings!$B$25</f>
        <v>8908.8</v>
      </c>
      <c r="V20" s="21" t="n">
        <f aca="false">SUM(O20:P20)+SUM(R20:U20)</f>
        <v>22748.8</v>
      </c>
      <c r="W20" s="21" t="n">
        <f aca="false">N20-V20</f>
        <v>54471.2</v>
      </c>
      <c r="X20" s="29" t="n">
        <f aca="false">IF(N20&gt;0,W20/N20,0)</f>
        <v>0.705402745402745</v>
      </c>
      <c r="Y20" s="30" t="n">
        <f aca="false">Q20*60/Settings!$B$9</f>
        <v>8.5</v>
      </c>
      <c r="Z20" s="21" t="n">
        <f aca="false">IF(Y20&gt;0,W20/Y20*60,0)</f>
        <v>384502.588235294</v>
      </c>
      <c r="AA20" s="30" t="n">
        <f aca="false">IF(Z20&gt;0,G20/Z20,"Never")</f>
        <v>8.32244072708759</v>
      </c>
      <c r="AB20" s="5" t="str">
        <f aca="false">INDEX(Vehicles!$S$5:$S$16,MATCH($B20,Vehicles!$A$5:$A$16,0))&amp;" to "&amp;INDEX(Vehicles!$T$5:$T$16,MATCH($B20,Vehicles!$A$5:$A$16,0))</f>
        <v>10 to 40</v>
      </c>
      <c r="AC20" s="5" t="str">
        <f aca="false">IF(NOT(ISNUMBER(AA20)),"Loses money",IF(AA20&lt;INDEX(Vehicles!$S$5:$S$16,MATCH($B20,Vehicles!$A$5:$A$16,0)),"Too fast",IF(AA20&gt;INDEX(Vehicles!$T$5:$T$16,MATCH($B20,Vehicles!$A$5:$A$16,0)),"Too slow","OK")))</f>
        <v>Too fast</v>
      </c>
      <c r="AD20" s="30" t="n">
        <f aca="false">24/Q20</f>
        <v>2.82352941176471</v>
      </c>
      <c r="AE20" s="30" t="n">
        <f aca="false">INDEX(Routes!$I$5:$I$20,MATCH($C20,Routes!$A$5:$A$20,0))/(I20*AD20)</f>
        <v>1.60984848484848</v>
      </c>
      <c r="AF20" s="5" t="str">
        <f aca="false">IF(AND(INDEX(Vehicles!$Q$5:$Q$16,MATCH($B20,Vehicles!$A$5:$A$16,0))="No",K20="Line"),"Not allowed on highway",IF(AND(K20="Line",L20&gt;Settings!$B$26),"Line haul too long",IF(ISERROR(SEARCH(","&amp;B20&amp;",",","&amp;INDEX(Cargo!$C$4:$C$15,MATCH($D20,Cargo!$A$4:$A$15,0))&amp;",")),"Cargo not allowed on this vehicle","")))</f>
        <v/>
      </c>
    </row>
    <row r="21" customFormat="false" ht="15" hidden="false" customHeight="false" outlineLevel="0" collapsed="false">
      <c r="A21" s="5" t="s">
        <v>282</v>
      </c>
      <c r="B21" s="22" t="n">
        <v>6</v>
      </c>
      <c r="C21" s="22" t="s">
        <v>229</v>
      </c>
      <c r="D21" s="22" t="s">
        <v>96</v>
      </c>
      <c r="E21" s="23" t="n">
        <v>0</v>
      </c>
      <c r="F21" s="6" t="str">
        <f aca="false">INDEX(Vehicles!$B$5:$B$16,MATCH($B21,Vehicles!$A$5:$A$16,0))</f>
        <v>Jamuna Open</v>
      </c>
      <c r="G21" s="7" t="n">
        <f aca="false">INDEX(Vehicles!$E$5:$E$16,MATCH($B21,Vehicles!$A$5:$A$16,0))</f>
        <v>3200000</v>
      </c>
      <c r="H21" s="27" t="n">
        <f aca="false">INDEX(Vehicles!$F$5:$F$16,MATCH($B21,Vehicles!$A$5:$A$16,0))</f>
        <v>10</v>
      </c>
      <c r="I21" s="28" t="n">
        <f aca="false">H21+MAX(0,MIN(E21,INDEX(Vehicles!$G$5:$G$16,MATCH($B21,Vehicles!$A$5:$A$16,0))-H21))</f>
        <v>10</v>
      </c>
      <c r="J21" s="29" t="n">
        <f aca="false">(I21-H21)/H21</f>
        <v>0</v>
      </c>
      <c r="K21" s="6" t="str">
        <f aca="false">INDEX(Routes!$E$5:$E$20,MATCH($C21,Routes!$A$5:$A$20,0))</f>
        <v>Line</v>
      </c>
      <c r="L21" s="7" t="n">
        <f aca="false">INDEX(Routes!$D$5:$D$20,MATCH($C21,Routes!$A$5:$A$20,0))</f>
        <v>220</v>
      </c>
      <c r="M21" s="21" t="n">
        <f aca="false">IF(K21="Local",2*L21,L21)</f>
        <v>220</v>
      </c>
      <c r="N21" s="21" t="n">
        <f aca="false">I21*(Settings!$B$6+Settings!$B$7*L21)*INDEX(Cargo!$B$4:$B$15,MATCH($D21,Cargo!$A$4:$A$15,0))*INDEX(Vehicles!$O$5:$O$16,MATCH($B21,Vehicles!$A$5:$A$16,0))*Settings!$B$8</f>
        <v>32550</v>
      </c>
      <c r="O21" s="21" t="n">
        <f aca="false">M21*INDEX(Vehicles!$K$5:$K$16,MATCH($B21,Vehicles!$A$5:$A$16,0))*(1+Settings!$B$18*J21)</f>
        <v>6600</v>
      </c>
      <c r="P21" s="21" t="n">
        <f aca="false">INDEX(Tolls!$B$5:$F$11,MATCH(INDEX(Vehicles!$P$5:$P$16,MATCH($B21,Vehicles!$A$5:$A$16,0)),Tolls!$A$5:$A$11,0),MATCH(INDEX(Routes!$F$5:$F$20,MATCH($C21,Routes!$A$5:$A$20,0)),Tolls!$B$4:$F$4,0))*IF(K21="Local",2,1)</f>
        <v>2800</v>
      </c>
      <c r="Q21" s="28" t="n">
        <f aca="false">M21/INDEX(Vehicles!$H$5:$H$16,MATCH($B21,Vehicles!$A$5:$A$16,0))+INDEX(Vehicles!$N$5:$N$16,MATCH($B21,Vehicles!$A$5:$A$16,0))+INDEX(Routes!$H$5:$H$20,MATCH($C21,Routes!$A$5:$A$20,0))</f>
        <v>8</v>
      </c>
      <c r="R21" s="21" t="n">
        <f aca="false">Q21*INDEX(Vehicles!$M$5:$M$16,MATCH($B21,Vehicles!$A$5:$A$16,0))</f>
        <v>1280</v>
      </c>
      <c r="S21" s="21" t="n">
        <f aca="false">M21*INDEX(Vehicles!$L$5:$L$16,MATCH($B21,Vehicles!$A$5:$A$16,0))*(1+Settings!$B$19*J21)</f>
        <v>880</v>
      </c>
      <c r="T21" s="21" t="n">
        <f aca="false">IF(I21&gt;H21,INDEX(Routes!$G$5:$G$20,MATCH($C21,Routes!$A$5:$A$20,0))*Settings!$B$20*(Settings!$B$21+Settings!$B$22*(I21-H21)),0)</f>
        <v>0</v>
      </c>
      <c r="U21" s="21" t="n">
        <f aca="false">G21*Settings!$B$23*M21/100*(1+Settings!$B$24*J21)*Settings!$B$25</f>
        <v>1408</v>
      </c>
      <c r="V21" s="21" t="n">
        <f aca="false">SUM(O21:P21)+SUM(R21:U21)</f>
        <v>12968</v>
      </c>
      <c r="W21" s="21" t="n">
        <f aca="false">N21-V21</f>
        <v>19582</v>
      </c>
      <c r="X21" s="29" t="n">
        <f aca="false">IF(N21&gt;0,W21/N21,0)</f>
        <v>0.601597542242704</v>
      </c>
      <c r="Y21" s="30" t="n">
        <f aca="false">Q21*60/Settings!$B$9</f>
        <v>8</v>
      </c>
      <c r="Z21" s="21" t="n">
        <f aca="false">IF(Y21&gt;0,W21/Y21*60,0)</f>
        <v>146865</v>
      </c>
      <c r="AA21" s="30" t="n">
        <f aca="false">IF(Z21&gt;0,G21/Z21,"Never")</f>
        <v>21.7887175297042</v>
      </c>
      <c r="AB21" s="5" t="str">
        <f aca="false">INDEX(Vehicles!$S$5:$S$16,MATCH($B21,Vehicles!$A$5:$A$16,0))&amp;" to "&amp;INDEX(Vehicles!$T$5:$T$16,MATCH($B21,Vehicles!$A$5:$A$16,0))</f>
        <v>10 to 40</v>
      </c>
      <c r="AC21" s="5" t="str">
        <f aca="false">IF(NOT(ISNUMBER(AA21)),"Loses money",IF(AA21&lt;INDEX(Vehicles!$S$5:$S$16,MATCH($B21,Vehicles!$A$5:$A$16,0)),"Too fast",IF(AA21&gt;INDEX(Vehicles!$T$5:$T$16,MATCH($B21,Vehicles!$A$5:$A$16,0)),"Too slow","OK")))</f>
        <v>OK</v>
      </c>
      <c r="AD21" s="30" t="n">
        <f aca="false">24/Q21</f>
        <v>3</v>
      </c>
      <c r="AE21" s="30" t="n">
        <f aca="false">INDEX(Routes!$I$5:$I$20,MATCH($C21,Routes!$A$5:$A$20,0))/(I21*AD21)</f>
        <v>4</v>
      </c>
      <c r="AF21" s="5" t="str">
        <f aca="false">IF(AND(INDEX(Vehicles!$Q$5:$Q$16,MATCH($B21,Vehicles!$A$5:$A$16,0))="No",K21="Line"),"Not allowed on highway",IF(AND(K21="Line",L21&gt;Settings!$B$26),"Line haul too long",IF(ISERROR(SEARCH(","&amp;B21&amp;",",","&amp;INDEX(Cargo!$C$4:$C$15,MATCH($D21,Cargo!$A$4:$A$15,0))&amp;",")),"Cargo not allowed on this vehicle","")))</f>
        <v/>
      </c>
    </row>
    <row r="22" customFormat="false" ht="15" hidden="false" customHeight="false" outlineLevel="0" collapsed="false">
      <c r="A22" s="5" t="s">
        <v>283</v>
      </c>
      <c r="B22" s="22" t="n">
        <v>6</v>
      </c>
      <c r="C22" s="22" t="s">
        <v>232</v>
      </c>
      <c r="D22" s="22" t="s">
        <v>96</v>
      </c>
      <c r="E22" s="23" t="n">
        <v>0</v>
      </c>
      <c r="F22" s="6" t="str">
        <f aca="false">INDEX(Vehicles!$B$5:$B$16,MATCH($B22,Vehicles!$A$5:$A$16,0))</f>
        <v>Jamuna Open</v>
      </c>
      <c r="G22" s="7" t="n">
        <f aca="false">INDEX(Vehicles!$E$5:$E$16,MATCH($B22,Vehicles!$A$5:$A$16,0))</f>
        <v>3200000</v>
      </c>
      <c r="H22" s="27" t="n">
        <f aca="false">INDEX(Vehicles!$F$5:$F$16,MATCH($B22,Vehicles!$A$5:$A$16,0))</f>
        <v>10</v>
      </c>
      <c r="I22" s="28" t="n">
        <f aca="false">H22+MAX(0,MIN(E22,INDEX(Vehicles!$G$5:$G$16,MATCH($B22,Vehicles!$A$5:$A$16,0))-H22))</f>
        <v>10</v>
      </c>
      <c r="J22" s="29" t="n">
        <f aca="false">(I22-H22)/H22</f>
        <v>0</v>
      </c>
      <c r="K22" s="6" t="str">
        <f aca="false">INDEX(Routes!$E$5:$E$20,MATCH($C22,Routes!$A$5:$A$20,0))</f>
        <v>Line</v>
      </c>
      <c r="L22" s="7" t="n">
        <f aca="false">INDEX(Routes!$D$5:$D$20,MATCH($C22,Routes!$A$5:$A$20,0))</f>
        <v>270</v>
      </c>
      <c r="M22" s="21" t="n">
        <f aca="false">IF(K22="Local",2*L22,L22)</f>
        <v>270</v>
      </c>
      <c r="N22" s="21" t="n">
        <f aca="false">I22*(Settings!$B$6+Settings!$B$7*L22)*INDEX(Cargo!$B$4:$B$15,MATCH($D22,Cargo!$A$4:$A$15,0))*INDEX(Vehicles!$O$5:$O$16,MATCH($B22,Vehicles!$A$5:$A$16,0))*Settings!$B$8</f>
        <v>38925</v>
      </c>
      <c r="O22" s="21" t="n">
        <f aca="false">M22*INDEX(Vehicles!$K$5:$K$16,MATCH($B22,Vehicles!$A$5:$A$16,0))*(1+Settings!$B$18*J22)</f>
        <v>8100</v>
      </c>
      <c r="P22" s="21" t="n">
        <f aca="false">INDEX(Tolls!$B$5:$F$11,MATCH(INDEX(Vehicles!$P$5:$P$16,MATCH($B22,Vehicles!$A$5:$A$16,0)),Tolls!$A$5:$A$11,0),MATCH(INDEX(Routes!$F$5:$F$20,MATCH($C22,Routes!$A$5:$A$20,0)),Tolls!$B$4:$F$4,0))*IF(K22="Local",2,1)</f>
        <v>1460</v>
      </c>
      <c r="Q22" s="28" t="n">
        <f aca="false">M22/INDEX(Vehicles!$H$5:$H$16,MATCH($B22,Vehicles!$A$5:$A$16,0))+INDEX(Vehicles!$N$5:$N$16,MATCH($B22,Vehicles!$A$5:$A$16,0))+INDEX(Routes!$H$5:$H$20,MATCH($C22,Routes!$A$5:$A$20,0))</f>
        <v>14.75</v>
      </c>
      <c r="R22" s="21" t="n">
        <f aca="false">Q22*INDEX(Vehicles!$M$5:$M$16,MATCH($B22,Vehicles!$A$5:$A$16,0))</f>
        <v>2360</v>
      </c>
      <c r="S22" s="21" t="n">
        <f aca="false">M22*INDEX(Vehicles!$L$5:$L$16,MATCH($B22,Vehicles!$A$5:$A$16,0))*(1+Settings!$B$19*J22)</f>
        <v>1080</v>
      </c>
      <c r="T22" s="21" t="n">
        <f aca="false">IF(I22&gt;H22,INDEX(Routes!$G$5:$G$20,MATCH($C22,Routes!$A$5:$A$20,0))*Settings!$B$20*(Settings!$B$21+Settings!$B$22*(I22-H22)),0)</f>
        <v>0</v>
      </c>
      <c r="U22" s="21" t="n">
        <f aca="false">G22*Settings!$B$23*M22/100*(1+Settings!$B$24*J22)*Settings!$B$25</f>
        <v>1728</v>
      </c>
      <c r="V22" s="21" t="n">
        <f aca="false">SUM(O22:P22)+SUM(R22:U22)</f>
        <v>14728</v>
      </c>
      <c r="W22" s="21" t="n">
        <f aca="false">N22-V22</f>
        <v>24197</v>
      </c>
      <c r="X22" s="29" t="n">
        <f aca="false">IF(N22&gt;0,W22/N22,0)</f>
        <v>0.621631342324984</v>
      </c>
      <c r="Y22" s="30" t="n">
        <f aca="false">Q22*60/Settings!$B$9</f>
        <v>14.75</v>
      </c>
      <c r="Z22" s="21" t="n">
        <f aca="false">IF(Y22&gt;0,W22/Y22*60,0)</f>
        <v>98428.4745762712</v>
      </c>
      <c r="AA22" s="30" t="n">
        <f aca="false">IF(Z22&gt;0,G22/Z22,"Never")</f>
        <v>32.5109173313496</v>
      </c>
      <c r="AB22" s="5" t="str">
        <f aca="false">INDEX(Vehicles!$S$5:$S$16,MATCH($B22,Vehicles!$A$5:$A$16,0))&amp;" to "&amp;INDEX(Vehicles!$T$5:$T$16,MATCH($B22,Vehicles!$A$5:$A$16,0))</f>
        <v>10 to 40</v>
      </c>
      <c r="AC22" s="5" t="str">
        <f aca="false">IF(NOT(ISNUMBER(AA22)),"Loses money",IF(AA22&lt;INDEX(Vehicles!$S$5:$S$16,MATCH($B22,Vehicles!$A$5:$A$16,0)),"Too fast",IF(AA22&gt;INDEX(Vehicles!$T$5:$T$16,MATCH($B22,Vehicles!$A$5:$A$16,0)),"Too slow","OK")))</f>
        <v>OK</v>
      </c>
      <c r="AD22" s="30" t="n">
        <f aca="false">24/Q22</f>
        <v>1.6271186440678</v>
      </c>
      <c r="AE22" s="30" t="n">
        <f aca="false">INDEX(Routes!$I$5:$I$20,MATCH($C22,Routes!$A$5:$A$20,0))/(I22*AD22)</f>
        <v>7.375</v>
      </c>
      <c r="AF22" s="5" t="str">
        <f aca="false">IF(AND(INDEX(Vehicles!$Q$5:$Q$16,MATCH($B22,Vehicles!$A$5:$A$16,0))="No",K22="Line"),"Not allowed on highway",IF(AND(K22="Line",L22&gt;Settings!$B$26),"Line haul too long",IF(ISERROR(SEARCH(","&amp;B22&amp;",",","&amp;INDEX(Cargo!$C$4:$C$15,MATCH($D22,Cargo!$A$4:$A$15,0))&amp;",")),"Cargo not allowed on this vehicle","")))</f>
        <v/>
      </c>
    </row>
    <row r="23" customFormat="false" ht="15" hidden="false" customHeight="false" outlineLevel="0" collapsed="false">
      <c r="A23" s="5" t="s">
        <v>284</v>
      </c>
      <c r="B23" s="22" t="n">
        <v>4</v>
      </c>
      <c r="C23" s="22" t="s">
        <v>209</v>
      </c>
      <c r="D23" s="22" t="s">
        <v>96</v>
      </c>
      <c r="E23" s="23" t="n">
        <v>0</v>
      </c>
      <c r="F23" s="6" t="str">
        <f aca="false">INDEX(Vehicles!$B$5:$B$16,MATCH($B23,Vehicles!$A$5:$A$16,0))</f>
        <v>Sathi Plus</v>
      </c>
      <c r="G23" s="7" t="n">
        <f aca="false">INDEX(Vehicles!$E$5:$E$16,MATCH($B23,Vehicles!$A$5:$A$16,0))</f>
        <v>1300000</v>
      </c>
      <c r="H23" s="27" t="n">
        <f aca="false">INDEX(Vehicles!$F$5:$F$16,MATCH($B23,Vehicles!$A$5:$A$16,0))</f>
        <v>1.5</v>
      </c>
      <c r="I23" s="28" t="n">
        <f aca="false">H23+MAX(0,MIN(E23,INDEX(Vehicles!$G$5:$G$16,MATCH($B23,Vehicles!$A$5:$A$16,0))-H23))</f>
        <v>1.5</v>
      </c>
      <c r="J23" s="29" t="n">
        <f aca="false">(I23-H23)/H23</f>
        <v>0</v>
      </c>
      <c r="K23" s="6" t="str">
        <f aca="false">INDEX(Routes!$E$5:$E$20,MATCH($C23,Routes!$A$5:$A$20,0))</f>
        <v>Local</v>
      </c>
      <c r="L23" s="7" t="n">
        <f aca="false">INDEX(Routes!$D$5:$D$20,MATCH($C23,Routes!$A$5:$A$20,0))</f>
        <v>20</v>
      </c>
      <c r="M23" s="21" t="n">
        <f aca="false">IF(K23="Local",2*L23,L23)</f>
        <v>40</v>
      </c>
      <c r="N23" s="21" t="n">
        <f aca="false">I23*(Settings!$B$6+Settings!$B$7*L23)*INDEX(Cargo!$B$4:$B$15,MATCH($D23,Cargo!$A$4:$A$15,0))*INDEX(Vehicles!$O$5:$O$16,MATCH($B23,Vehicles!$A$5:$A$16,0))*Settings!$B$8</f>
        <v>2961</v>
      </c>
      <c r="O23" s="21" t="n">
        <f aca="false">M23*INDEX(Vehicles!$K$5:$K$16,MATCH($B23,Vehicles!$A$5:$A$16,0))*(1+Settings!$B$18*J23)</f>
        <v>450</v>
      </c>
      <c r="P23" s="21" t="n">
        <f aca="false">INDEX(Tolls!$B$5:$F$11,MATCH(INDEX(Vehicles!$P$5:$P$16,MATCH($B23,Vehicles!$A$5:$A$16,0)),Tolls!$A$5:$A$11,0),MATCH(INDEX(Routes!$F$5:$F$20,MATCH($C23,Routes!$A$5:$A$20,0)),Tolls!$B$4:$F$4,0))*IF(K23="Local",2,1)</f>
        <v>0</v>
      </c>
      <c r="Q23" s="28" t="n">
        <f aca="false">M23/INDEX(Vehicles!$H$5:$H$16,MATCH($B23,Vehicles!$A$5:$A$16,0))+INDEX(Vehicles!$N$5:$N$16,MATCH($B23,Vehicles!$A$5:$A$16,0))+INDEX(Routes!$H$5:$H$20,MATCH($C23,Routes!$A$5:$A$20,0))</f>
        <v>1.6</v>
      </c>
      <c r="R23" s="21" t="n">
        <f aca="false">Q23*INDEX(Vehicles!$M$5:$M$16,MATCH($B23,Vehicles!$A$5:$A$16,0))</f>
        <v>128</v>
      </c>
      <c r="S23" s="21" t="n">
        <f aca="false">M23*INDEX(Vehicles!$L$5:$L$16,MATCH($B23,Vehicles!$A$5:$A$16,0))*(1+Settings!$B$19*J23)</f>
        <v>80</v>
      </c>
      <c r="T23" s="21" t="n">
        <f aca="false">IF(I23&gt;H23,INDEX(Routes!$G$5:$G$20,MATCH($C23,Routes!$A$5:$A$20,0))*Settings!$B$20*(Settings!$B$21+Settings!$B$22*(I23-H23)),0)</f>
        <v>0</v>
      </c>
      <c r="U23" s="21" t="n">
        <f aca="false">G23*Settings!$B$23*M23/100*(1+Settings!$B$24*J23)*Settings!$B$25</f>
        <v>104</v>
      </c>
      <c r="V23" s="21" t="n">
        <f aca="false">SUM(O23:P23)+SUM(R23:U23)</f>
        <v>762</v>
      </c>
      <c r="W23" s="21" t="n">
        <f aca="false">N23-V23</f>
        <v>2199</v>
      </c>
      <c r="X23" s="29" t="n">
        <f aca="false">IF(N23&gt;0,W23/N23,0)</f>
        <v>0.742654508611955</v>
      </c>
      <c r="Y23" s="30" t="n">
        <f aca="false">Q23*60/Settings!$B$9</f>
        <v>1.6</v>
      </c>
      <c r="Z23" s="21" t="n">
        <f aca="false">IF(Y23&gt;0,W23/Y23*60,0)</f>
        <v>82462.5</v>
      </c>
      <c r="AA23" s="30" t="n">
        <f aca="false">IF(Z23&gt;0,G23/Z23,"Never")</f>
        <v>15.764741549189</v>
      </c>
      <c r="AB23" s="5" t="str">
        <f aca="false">INDEX(Vehicles!$S$5:$S$16,MATCH($B23,Vehicles!$A$5:$A$16,0))&amp;" to "&amp;INDEX(Vehicles!$T$5:$T$16,MATCH($B23,Vehicles!$A$5:$A$16,0))</f>
        <v>5 to 30</v>
      </c>
      <c r="AC23" s="5" t="str">
        <f aca="false">IF(NOT(ISNUMBER(AA23)),"Loses money",IF(AA23&lt;INDEX(Vehicles!$S$5:$S$16,MATCH($B23,Vehicles!$A$5:$A$16,0)),"Too fast",IF(AA23&gt;INDEX(Vehicles!$T$5:$T$16,MATCH($B23,Vehicles!$A$5:$A$16,0)),"Too slow","OK")))</f>
        <v>OK</v>
      </c>
      <c r="AD23" s="30" t="n">
        <f aca="false">24/Q23</f>
        <v>15</v>
      </c>
      <c r="AE23" s="30" t="n">
        <f aca="false">INDEX(Routes!$I$5:$I$20,MATCH($C23,Routes!$A$5:$A$20,0))/(I23*AD23)</f>
        <v>2.22222222222222</v>
      </c>
      <c r="AF23" s="5" t="str">
        <f aca="false">IF(AND(INDEX(Vehicles!$Q$5:$Q$16,MATCH($B23,Vehicles!$A$5:$A$16,0))="No",K23="Line"),"Not allowed on highway",IF(AND(K23="Line",L23&gt;Settings!$B$26),"Line haul too long",IF(ISERROR(SEARCH(","&amp;B23&amp;",",","&amp;INDEX(Cargo!$C$4:$C$15,MATCH($D23,Cargo!$A$4:$A$15,0))&amp;",")),"Cargo not allowed on this vehicle","")))</f>
        <v/>
      </c>
    </row>
    <row r="24" customFormat="false" ht="15" hidden="false" customHeight="false" outlineLevel="0" collapsed="false">
      <c r="A24" s="5" t="s">
        <v>285</v>
      </c>
      <c r="B24" s="22" t="n">
        <v>5</v>
      </c>
      <c r="C24" s="22" t="s">
        <v>214</v>
      </c>
      <c r="D24" s="22" t="s">
        <v>96</v>
      </c>
      <c r="E24" s="23" t="n">
        <v>0</v>
      </c>
      <c r="F24" s="6" t="str">
        <f aca="false">INDEX(Vehicles!$B$5:$B$16,MATCH($B24,Vehicles!$A$5:$A$16,0))</f>
        <v>Meghna 14</v>
      </c>
      <c r="G24" s="7" t="n">
        <f aca="false">INDEX(Vehicles!$E$5:$E$16,MATCH($B24,Vehicles!$A$5:$A$16,0))</f>
        <v>2500000</v>
      </c>
      <c r="H24" s="27" t="n">
        <f aca="false">INDEX(Vehicles!$F$5:$F$16,MATCH($B24,Vehicles!$A$5:$A$16,0))</f>
        <v>4</v>
      </c>
      <c r="I24" s="28" t="n">
        <f aca="false">H24+MAX(0,MIN(E24,INDEX(Vehicles!$G$5:$G$16,MATCH($B24,Vehicles!$A$5:$A$16,0))-H24))</f>
        <v>4</v>
      </c>
      <c r="J24" s="29" t="n">
        <f aca="false">(I24-H24)/H24</f>
        <v>0</v>
      </c>
      <c r="K24" s="6" t="str">
        <f aca="false">INDEX(Routes!$E$5:$E$20,MATCH($C24,Routes!$A$5:$A$20,0))</f>
        <v>Line</v>
      </c>
      <c r="L24" s="7" t="n">
        <f aca="false">INDEX(Routes!$D$5:$D$20,MATCH($C24,Routes!$A$5:$A$20,0))</f>
        <v>100</v>
      </c>
      <c r="M24" s="21" t="n">
        <f aca="false">IF(K24="Local",2*L24,L24)</f>
        <v>100</v>
      </c>
      <c r="N24" s="21" t="n">
        <f aca="false">I24*(Settings!$B$6+Settings!$B$7*L24)*INDEX(Cargo!$B$4:$B$15,MATCH($D24,Cargo!$A$4:$A$15,0))*INDEX(Vehicles!$O$5:$O$16,MATCH($B24,Vehicles!$A$5:$A$16,0))*Settings!$B$8</f>
        <v>11040</v>
      </c>
      <c r="O24" s="21" t="n">
        <f aca="false">M24*INDEX(Vehicles!$K$5:$K$16,MATCH($B24,Vehicles!$A$5:$A$16,0))*(1+Settings!$B$18*J24)</f>
        <v>1687.5</v>
      </c>
      <c r="P24" s="21" t="n">
        <f aca="false">INDEX(Tolls!$B$5:$F$11,MATCH(INDEX(Vehicles!$P$5:$P$16,MATCH($B24,Vehicles!$A$5:$A$16,0)),Tolls!$A$5:$A$11,0),MATCH(INDEX(Routes!$F$5:$F$20,MATCH($C24,Routes!$A$5:$A$20,0)),Tolls!$B$4:$F$4,0))*IF(K24="Local",2,1)</f>
        <v>500</v>
      </c>
      <c r="Q24" s="28" t="n">
        <f aca="false">M24/INDEX(Vehicles!$H$5:$H$16,MATCH($B24,Vehicles!$A$5:$A$16,0))+INDEX(Vehicles!$N$5:$N$16,MATCH($B24,Vehicles!$A$5:$A$16,0))+INDEX(Routes!$H$5:$H$20,MATCH($C24,Routes!$A$5:$A$20,0))</f>
        <v>3.72222222222222</v>
      </c>
      <c r="R24" s="21" t="n">
        <f aca="false">Q24*INDEX(Vehicles!$M$5:$M$16,MATCH($B24,Vehicles!$A$5:$A$16,0))</f>
        <v>409.444444444444</v>
      </c>
      <c r="S24" s="21" t="n">
        <f aca="false">M24*INDEX(Vehicles!$L$5:$L$16,MATCH($B24,Vehicles!$A$5:$A$16,0))*(1+Settings!$B$19*J24)</f>
        <v>300</v>
      </c>
      <c r="T24" s="21" t="n">
        <f aca="false">IF(I24&gt;H24,INDEX(Routes!$G$5:$G$20,MATCH($C24,Routes!$A$5:$A$20,0))*Settings!$B$20*(Settings!$B$21+Settings!$B$22*(I24-H24)),0)</f>
        <v>0</v>
      </c>
      <c r="U24" s="21" t="n">
        <f aca="false">G24*Settings!$B$23*M24/100*(1+Settings!$B$24*J24)*Settings!$B$25</f>
        <v>500</v>
      </c>
      <c r="V24" s="21" t="n">
        <f aca="false">SUM(O24:P24)+SUM(R24:U24)</f>
        <v>3396.94444444444</v>
      </c>
      <c r="W24" s="21" t="n">
        <f aca="false">N24-V24</f>
        <v>7643.05555555556</v>
      </c>
      <c r="X24" s="29" t="n">
        <f aca="false">IF(N24&gt;0,W24/N24,0)</f>
        <v>0.6923057568438</v>
      </c>
      <c r="Y24" s="30" t="n">
        <f aca="false">Q24*60/Settings!$B$9</f>
        <v>3.72222222222222</v>
      </c>
      <c r="Z24" s="21" t="n">
        <f aca="false">IF(Y24&gt;0,W24/Y24*60,0)</f>
        <v>123201.492537313</v>
      </c>
      <c r="AA24" s="30" t="n">
        <f aca="false">IF(Z24&gt;0,G24/Z24,"Never")</f>
        <v>20.291961960143</v>
      </c>
      <c r="AB24" s="5" t="str">
        <f aca="false">INDEX(Vehicles!$S$5:$S$16,MATCH($B24,Vehicles!$A$5:$A$16,0))&amp;" to "&amp;INDEX(Vehicles!$T$5:$T$16,MATCH($B24,Vehicles!$A$5:$A$16,0))</f>
        <v>10 to 40</v>
      </c>
      <c r="AC24" s="5" t="str">
        <f aca="false">IF(NOT(ISNUMBER(AA24)),"Loses money",IF(AA24&lt;INDEX(Vehicles!$S$5:$S$16,MATCH($B24,Vehicles!$A$5:$A$16,0)),"Too fast",IF(AA24&gt;INDEX(Vehicles!$T$5:$T$16,MATCH($B24,Vehicles!$A$5:$A$16,0)),"Too slow","OK")))</f>
        <v>OK</v>
      </c>
      <c r="AD24" s="30" t="n">
        <f aca="false">24/Q24</f>
        <v>6.44776119402985</v>
      </c>
      <c r="AE24" s="30" t="n">
        <f aca="false">INDEX(Routes!$I$5:$I$20,MATCH($C24,Routes!$A$5:$A$20,0))/(I24*AD24)</f>
        <v>4.65277777777778</v>
      </c>
      <c r="AF24" s="5" t="str">
        <f aca="false">IF(AND(INDEX(Vehicles!$Q$5:$Q$16,MATCH($B24,Vehicles!$A$5:$A$16,0))="No",K24="Line"),"Not allowed on highway",IF(AND(K24="Line",L24&gt;Settings!$B$26),"Line haul too long",IF(ISERROR(SEARCH(","&amp;B24&amp;",",","&amp;INDEX(Cargo!$C$4:$C$15,MATCH($D24,Cargo!$A$4:$A$15,0))&amp;",")),"Cargo not allowed on this vehicle","")))</f>
        <v/>
      </c>
    </row>
    <row r="25" customFormat="false" ht="15" hidden="false" customHeight="false" outlineLevel="0" collapsed="false">
      <c r="A25" s="5" t="s">
        <v>286</v>
      </c>
      <c r="B25" s="22" t="n">
        <v>4</v>
      </c>
      <c r="C25" s="22" t="s">
        <v>211</v>
      </c>
      <c r="D25" s="22" t="s">
        <v>96</v>
      </c>
      <c r="E25" s="23" t="n">
        <v>0</v>
      </c>
      <c r="F25" s="6" t="str">
        <f aca="false">INDEX(Vehicles!$B$5:$B$16,MATCH($B25,Vehicles!$A$5:$A$16,0))</f>
        <v>Sathi Plus</v>
      </c>
      <c r="G25" s="7" t="n">
        <f aca="false">INDEX(Vehicles!$E$5:$E$16,MATCH($B25,Vehicles!$A$5:$A$16,0))</f>
        <v>1300000</v>
      </c>
      <c r="H25" s="27" t="n">
        <f aca="false">INDEX(Vehicles!$F$5:$F$16,MATCH($B25,Vehicles!$A$5:$A$16,0))</f>
        <v>1.5</v>
      </c>
      <c r="I25" s="28" t="n">
        <f aca="false">H25+MAX(0,MIN(E25,INDEX(Vehicles!$G$5:$G$16,MATCH($B25,Vehicles!$A$5:$A$16,0))-H25))</f>
        <v>1.5</v>
      </c>
      <c r="J25" s="29" t="n">
        <f aca="false">(I25-H25)/H25</f>
        <v>0</v>
      </c>
      <c r="K25" s="6" t="str">
        <f aca="false">INDEX(Routes!$E$5:$E$20,MATCH($C25,Routes!$A$5:$A$20,0))</f>
        <v>Local</v>
      </c>
      <c r="L25" s="7" t="n">
        <f aca="false">INDEX(Routes!$D$5:$D$20,MATCH($C25,Routes!$A$5:$A$20,0))</f>
        <v>35</v>
      </c>
      <c r="M25" s="21" t="n">
        <f aca="false">IF(K25="Local",2*L25,L25)</f>
        <v>70</v>
      </c>
      <c r="N25" s="21" t="n">
        <f aca="false">I25*(Settings!$B$6+Settings!$B$7*L25)*INDEX(Cargo!$B$4:$B$15,MATCH($D25,Cargo!$A$4:$A$15,0))*INDEX(Vehicles!$O$5:$O$16,MATCH($B25,Vehicles!$A$5:$A$16,0))*Settings!$B$8</f>
        <v>3764.25</v>
      </c>
      <c r="O25" s="21" t="n">
        <f aca="false">M25*INDEX(Vehicles!$K$5:$K$16,MATCH($B25,Vehicles!$A$5:$A$16,0))*(1+Settings!$B$18*J25)</f>
        <v>787.5</v>
      </c>
      <c r="P25" s="21" t="n">
        <f aca="false">INDEX(Tolls!$B$5:$F$11,MATCH(INDEX(Vehicles!$P$5:$P$16,MATCH($B25,Vehicles!$A$5:$A$16,0)),Tolls!$A$5:$A$11,0),MATCH(INDEX(Routes!$F$5:$F$20,MATCH($C25,Routes!$A$5:$A$20,0)),Tolls!$B$4:$F$4,0))*IF(K25="Local",2,1)</f>
        <v>0</v>
      </c>
      <c r="Q25" s="28" t="n">
        <f aca="false">M25/INDEX(Vehicles!$H$5:$H$16,MATCH($B25,Vehicles!$A$5:$A$16,0))+INDEX(Vehicles!$N$5:$N$16,MATCH($B25,Vehicles!$A$5:$A$16,0))+INDEX(Routes!$H$5:$H$20,MATCH($C25,Routes!$A$5:$A$20,0))</f>
        <v>2.4</v>
      </c>
      <c r="R25" s="21" t="n">
        <f aca="false">Q25*INDEX(Vehicles!$M$5:$M$16,MATCH($B25,Vehicles!$A$5:$A$16,0))</f>
        <v>192</v>
      </c>
      <c r="S25" s="21" t="n">
        <f aca="false">M25*INDEX(Vehicles!$L$5:$L$16,MATCH($B25,Vehicles!$A$5:$A$16,0))*(1+Settings!$B$19*J25)</f>
        <v>140</v>
      </c>
      <c r="T25" s="21" t="n">
        <f aca="false">IF(I25&gt;H25,INDEX(Routes!$G$5:$G$20,MATCH($C25,Routes!$A$5:$A$20,0))*Settings!$B$20*(Settings!$B$21+Settings!$B$22*(I25-H25)),0)</f>
        <v>0</v>
      </c>
      <c r="U25" s="21" t="n">
        <f aca="false">G25*Settings!$B$23*M25/100*(1+Settings!$B$24*J25)*Settings!$B$25</f>
        <v>182</v>
      </c>
      <c r="V25" s="21" t="n">
        <f aca="false">SUM(O25:P25)+SUM(R25:U25)</f>
        <v>1301.5</v>
      </c>
      <c r="W25" s="21" t="n">
        <f aca="false">N25-V25</f>
        <v>2462.75</v>
      </c>
      <c r="X25" s="29" t="n">
        <f aca="false">IF(N25&gt;0,W25/N25,0)</f>
        <v>0.654247193996148</v>
      </c>
      <c r="Y25" s="30" t="n">
        <f aca="false">Q25*60/Settings!$B$9</f>
        <v>2.4</v>
      </c>
      <c r="Z25" s="21" t="n">
        <f aca="false">IF(Y25&gt;0,W25/Y25*60,0)</f>
        <v>61568.75</v>
      </c>
      <c r="AA25" s="30" t="n">
        <f aca="false">IF(Z25&gt;0,G25/Z25,"Never")</f>
        <v>21.1146076540453</v>
      </c>
      <c r="AB25" s="5" t="str">
        <f aca="false">INDEX(Vehicles!$S$5:$S$16,MATCH($B25,Vehicles!$A$5:$A$16,0))&amp;" to "&amp;INDEX(Vehicles!$T$5:$T$16,MATCH($B25,Vehicles!$A$5:$A$16,0))</f>
        <v>5 to 30</v>
      </c>
      <c r="AC25" s="5" t="str">
        <f aca="false">IF(NOT(ISNUMBER(AA25)),"Loses money",IF(AA25&lt;INDEX(Vehicles!$S$5:$S$16,MATCH($B25,Vehicles!$A$5:$A$16,0)),"Too fast",IF(AA25&gt;INDEX(Vehicles!$T$5:$T$16,MATCH($B25,Vehicles!$A$5:$A$16,0)),"Too slow","OK")))</f>
        <v>OK</v>
      </c>
      <c r="AD25" s="30" t="n">
        <f aca="false">24/Q25</f>
        <v>10</v>
      </c>
      <c r="AE25" s="30" t="n">
        <f aca="false">INDEX(Routes!$I$5:$I$20,MATCH($C25,Routes!$A$5:$A$20,0))/(I25*AD25)</f>
        <v>5.33333333333333</v>
      </c>
      <c r="AF25" s="5" t="str">
        <f aca="false">IF(AND(INDEX(Vehicles!$Q$5:$Q$16,MATCH($B25,Vehicles!$A$5:$A$16,0))="No",K25="Line"),"Not allowed on highway",IF(AND(K25="Line",L25&gt;Settings!$B$26),"Line haul too long",IF(ISERROR(SEARCH(","&amp;B25&amp;",",","&amp;INDEX(Cargo!$C$4:$C$15,MATCH($D25,Cargo!$A$4:$A$15,0))&amp;",")),"Cargo not allowed on this vehicle","")))</f>
        <v/>
      </c>
    </row>
    <row r="26" customFormat="false" ht="15" hidden="false" customHeight="false" outlineLevel="0" collapsed="false">
      <c r="A26" s="5" t="s">
        <v>287</v>
      </c>
      <c r="B26" s="22" t="n">
        <v>1</v>
      </c>
      <c r="C26" s="22" t="s">
        <v>217</v>
      </c>
      <c r="D26" s="22" t="s">
        <v>96</v>
      </c>
      <c r="E26" s="23" t="n">
        <v>0</v>
      </c>
      <c r="F26" s="6" t="str">
        <f aca="false">INDEX(Vehicles!$B$5:$B$16,MATCH($B26,Vehicles!$A$5:$A$16,0))</f>
        <v>Sonar Van</v>
      </c>
      <c r="G26" s="7" t="n">
        <f aca="false">INDEX(Vehicles!$E$5:$E$16,MATCH($B26,Vehicles!$A$5:$A$16,0))</f>
        <v>20000</v>
      </c>
      <c r="H26" s="27" t="n">
        <f aca="false">INDEX(Vehicles!$F$5:$F$16,MATCH($B26,Vehicles!$A$5:$A$16,0))</f>
        <v>0.3</v>
      </c>
      <c r="I26" s="28" t="n">
        <f aca="false">H26+MAX(0,MIN(E26,INDEX(Vehicles!$G$5:$G$16,MATCH($B26,Vehicles!$A$5:$A$16,0))-H26))</f>
        <v>0.3</v>
      </c>
      <c r="J26" s="29" t="n">
        <f aca="false">(I26-H26)/H26</f>
        <v>0</v>
      </c>
      <c r="K26" s="6" t="str">
        <f aca="false">INDEX(Routes!$E$5:$E$20,MATCH($C26,Routes!$A$5:$A$20,0))</f>
        <v>Line</v>
      </c>
      <c r="L26" s="7" t="n">
        <f aca="false">INDEX(Routes!$D$5:$D$20,MATCH($C26,Routes!$A$5:$A$20,0))</f>
        <v>250</v>
      </c>
      <c r="M26" s="21" t="n">
        <f aca="false">IF(K26="Local",2*L26,L26)</f>
        <v>250</v>
      </c>
      <c r="N26" s="21" t="n">
        <f aca="false">I26*(Settings!$B$6+Settings!$B$7*L26)*INDEX(Cargo!$B$4:$B$15,MATCH($D26,Cargo!$A$4:$A$15,0))*INDEX(Vehicles!$O$5:$O$16,MATCH($B26,Vehicles!$A$5:$A$16,0))*Settings!$B$8</f>
        <v>2728.125</v>
      </c>
      <c r="O26" s="21" t="n">
        <f aca="false">M26*INDEX(Vehicles!$K$5:$K$16,MATCH($B26,Vehicles!$A$5:$A$16,0))*(1+Settings!$B$18*J26)</f>
        <v>0</v>
      </c>
      <c r="P26" s="21" t="n">
        <f aca="false">INDEX(Tolls!$B$5:$F$11,MATCH(INDEX(Vehicles!$P$5:$P$16,MATCH($B26,Vehicles!$A$5:$A$16,0)),Tolls!$A$5:$A$11,0),MATCH(INDEX(Routes!$F$5:$F$20,MATCH($C26,Routes!$A$5:$A$20,0)),Tolls!$B$4:$F$4,0))*IF(K26="Local",2,1)</f>
        <v>0</v>
      </c>
      <c r="Q26" s="28" t="n">
        <f aca="false">M26/INDEX(Vehicles!$H$5:$H$16,MATCH($B26,Vehicles!$A$5:$A$16,0))+INDEX(Vehicles!$N$5:$N$16,MATCH($B26,Vehicles!$A$5:$A$16,0))+INDEX(Routes!$H$5:$H$20,MATCH($C26,Routes!$A$5:$A$20,0))</f>
        <v>32.55</v>
      </c>
      <c r="R26" s="21" t="n">
        <f aca="false">Q26*INDEX(Vehicles!$M$5:$M$16,MATCH($B26,Vehicles!$A$5:$A$16,0))</f>
        <v>1627.5</v>
      </c>
      <c r="S26" s="21" t="n">
        <f aca="false">M26*INDEX(Vehicles!$L$5:$L$16,MATCH($B26,Vehicles!$A$5:$A$16,0))*(1+Settings!$B$19*J26)</f>
        <v>50</v>
      </c>
      <c r="T26" s="21" t="n">
        <f aca="false">IF(I26&gt;H26,INDEX(Routes!$G$5:$G$20,MATCH($C26,Routes!$A$5:$A$20,0))*Settings!$B$20*(Settings!$B$21+Settings!$B$22*(I26-H26)),0)</f>
        <v>0</v>
      </c>
      <c r="U26" s="21" t="n">
        <f aca="false">G26*Settings!$B$23*M26/100*(1+Settings!$B$24*J26)*Settings!$B$25</f>
        <v>10</v>
      </c>
      <c r="V26" s="21" t="n">
        <f aca="false">SUM(O26:P26)+SUM(R26:U26)</f>
        <v>1687.5</v>
      </c>
      <c r="W26" s="21" t="n">
        <f aca="false">N26-V26</f>
        <v>1040.625</v>
      </c>
      <c r="X26" s="29" t="n">
        <f aca="false">IF(N26&gt;0,W26/N26,0)</f>
        <v>0.381443298969072</v>
      </c>
      <c r="Y26" s="30" t="n">
        <f aca="false">Q26*60/Settings!$B$9</f>
        <v>32.55</v>
      </c>
      <c r="Z26" s="21" t="n">
        <f aca="false">IF(Y26&gt;0,W26/Y26*60,0)</f>
        <v>1918.20276497696</v>
      </c>
      <c r="AA26" s="30" t="n">
        <f aca="false">IF(Z26&gt;0,G26/Z26,"Never")</f>
        <v>10.4264264264264</v>
      </c>
      <c r="AB26" s="5" t="str">
        <f aca="false">INDEX(Vehicles!$S$5:$S$16,MATCH($B26,Vehicles!$A$5:$A$16,0))&amp;" to "&amp;INDEX(Vehicles!$T$5:$T$16,MATCH($B26,Vehicles!$A$5:$A$16,0))</f>
        <v>0.5 to 5</v>
      </c>
      <c r="AC26" s="5" t="str">
        <f aca="false">IF(NOT(ISNUMBER(AA26)),"Loses money",IF(AA26&lt;INDEX(Vehicles!$S$5:$S$16,MATCH($B26,Vehicles!$A$5:$A$16,0)),"Too fast",IF(AA26&gt;INDEX(Vehicles!$T$5:$T$16,MATCH($B26,Vehicles!$A$5:$A$16,0)),"Too slow","OK")))</f>
        <v>Too slow</v>
      </c>
      <c r="AD26" s="30" t="n">
        <f aca="false">24/Q26</f>
        <v>0.737327188940092</v>
      </c>
      <c r="AE26" s="30" t="n">
        <f aca="false">INDEX(Routes!$I$5:$I$20,MATCH($C26,Routes!$A$5:$A$20,0))/(I26*AD26)</f>
        <v>1808.33333333333</v>
      </c>
      <c r="AF26" s="5" t="str">
        <f aca="false">IF(AND(INDEX(Vehicles!$Q$5:$Q$16,MATCH($B26,Vehicles!$A$5:$A$16,0))="No",K26="Line"),"Not allowed on highway",IF(AND(K26="Line",L26&gt;Settings!$B$26),"Line haul too long",IF(ISERROR(SEARCH(","&amp;B26&amp;",",","&amp;INDEX(Cargo!$C$4:$C$15,MATCH($D26,Cargo!$A$4:$A$15,0))&amp;",")),"Cargo not allowed on this vehicle","")))</f>
        <v>Not allowed on highway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288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0" t="s">
        <v>289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4" t="s">
        <v>290</v>
      </c>
      <c r="B4" s="7" t="n">
        <f aca="false">Settings!$B$16</f>
        <v>1500000</v>
      </c>
      <c r="C4" s="2"/>
      <c r="D4" s="2"/>
      <c r="E4" s="2"/>
      <c r="F4" s="31" t="s">
        <v>291</v>
      </c>
      <c r="G4" s="5" t="n">
        <f aca="false">COUNTIFS($A$17:$A$65,"&lt;60",$F$17:$F$65,1)</f>
        <v>3</v>
      </c>
      <c r="H4" s="2"/>
      <c r="I4" s="2"/>
    </row>
    <row r="5" customFormat="false" ht="26.85" hidden="false" customHeight="false" outlineLevel="0" collapsed="false">
      <c r="A5" s="4" t="s">
        <v>292</v>
      </c>
      <c r="B5" s="7" t="n">
        <f aca="false">'Trip Calculator'!Z8</f>
        <v>90246.4285714286</v>
      </c>
      <c r="C5" s="2"/>
      <c r="D5" s="2"/>
      <c r="E5" s="2"/>
      <c r="F5" s="31" t="s">
        <v>293</v>
      </c>
      <c r="G5" s="5" t="n">
        <f aca="false">SUM($F$17:$F$65)</f>
        <v>4</v>
      </c>
      <c r="H5" s="2"/>
      <c r="I5" s="2"/>
    </row>
    <row r="6" customFormat="false" ht="26.85" hidden="false" customHeight="false" outlineLevel="0" collapsed="false">
      <c r="A6" s="2"/>
      <c r="B6" s="2"/>
      <c r="C6" s="2"/>
      <c r="D6" s="2"/>
      <c r="E6" s="2"/>
      <c r="F6" s="31" t="s">
        <v>294</v>
      </c>
      <c r="G6" s="21" t="n">
        <f aca="false">INDEX($H$17:$H$65,MATCH(Settings!$B$14,$A$17:$A$65,0))</f>
        <v>247606.655844156</v>
      </c>
      <c r="H6" s="2"/>
      <c r="I6" s="2"/>
    </row>
    <row r="7" customFormat="false" ht="45" hidden="false" customHeight="true" outlineLevel="0" collapsed="false">
      <c r="A7" s="8" t="s">
        <v>295</v>
      </c>
      <c r="B7" s="8" t="s">
        <v>296</v>
      </c>
      <c r="C7" s="8" t="s">
        <v>131</v>
      </c>
      <c r="D7" s="8" t="s">
        <v>297</v>
      </c>
      <c r="E7" s="2"/>
      <c r="F7" s="2"/>
      <c r="G7" s="2"/>
      <c r="H7" s="2"/>
      <c r="I7" s="2"/>
    </row>
    <row r="8" customFormat="false" ht="15" hidden="false" customHeight="false" outlineLevel="0" collapsed="false">
      <c r="A8" s="5" t="n">
        <v>1</v>
      </c>
      <c r="B8" s="22" t="s">
        <v>298</v>
      </c>
      <c r="C8" s="7" t="n">
        <f aca="false">'Trip Calculator'!G7</f>
        <v>1000000</v>
      </c>
      <c r="D8" s="7" t="n">
        <f aca="false">'Trip Calculator'!Z7</f>
        <v>74897.7272727273</v>
      </c>
      <c r="E8" s="2"/>
      <c r="F8" s="2"/>
      <c r="G8" s="2"/>
      <c r="H8" s="2"/>
      <c r="I8" s="2"/>
    </row>
    <row r="9" customFormat="false" ht="15" hidden="false" customHeight="false" outlineLevel="0" collapsed="false">
      <c r="A9" s="5" t="n">
        <v>2</v>
      </c>
      <c r="B9" s="22" t="s">
        <v>299</v>
      </c>
      <c r="C9" s="7" t="n">
        <f aca="false">'Trip Calculator'!G23</f>
        <v>1300000</v>
      </c>
      <c r="D9" s="7" t="n">
        <f aca="false">'Trip Calculator'!Z23</f>
        <v>82462.5</v>
      </c>
      <c r="E9" s="2"/>
      <c r="F9" s="2"/>
      <c r="G9" s="2"/>
      <c r="H9" s="2"/>
      <c r="I9" s="2"/>
    </row>
    <row r="10" customFormat="false" ht="15" hidden="false" customHeight="false" outlineLevel="0" collapsed="false">
      <c r="A10" s="5" t="n">
        <v>3</v>
      </c>
      <c r="B10" s="22" t="s">
        <v>300</v>
      </c>
      <c r="C10" s="7" t="n">
        <f aca="false">Settings!$B$17</f>
        <v>800000</v>
      </c>
      <c r="D10" s="11" t="n">
        <v>0</v>
      </c>
      <c r="E10" s="2"/>
      <c r="F10" s="2"/>
      <c r="G10" s="2"/>
      <c r="H10" s="2"/>
      <c r="I10" s="2"/>
    </row>
    <row r="11" customFormat="false" ht="15" hidden="false" customHeight="false" outlineLevel="0" collapsed="false">
      <c r="A11" s="5" t="n">
        <v>4</v>
      </c>
      <c r="B11" s="22" t="s">
        <v>301</v>
      </c>
      <c r="C11" s="7" t="n">
        <f aca="false">'Trip Calculator'!G25</f>
        <v>1300000</v>
      </c>
      <c r="D11" s="7" t="n">
        <f aca="false">'Trip Calculator'!Z25</f>
        <v>61568.75</v>
      </c>
      <c r="E11" s="2"/>
      <c r="F11" s="2"/>
      <c r="G11" s="2"/>
      <c r="H11" s="2"/>
      <c r="I11" s="2"/>
    </row>
    <row r="12" customFormat="false" ht="15" hidden="false" customHeight="false" outlineLevel="0" collapsed="false">
      <c r="A12" s="5" t="n">
        <v>5</v>
      </c>
      <c r="B12" s="22" t="s">
        <v>302</v>
      </c>
      <c r="C12" s="7" t="n">
        <f aca="false">'Trip Calculator'!G24</f>
        <v>2500000</v>
      </c>
      <c r="D12" s="7" t="n">
        <f aca="false">'Trip Calculator'!Z24</f>
        <v>123201.492537313</v>
      </c>
      <c r="E12" s="2"/>
      <c r="F12" s="2"/>
      <c r="G12" s="2"/>
      <c r="H12" s="2"/>
      <c r="I12" s="2"/>
    </row>
    <row r="13" customFormat="false" ht="15" hidden="false" customHeight="false" outlineLevel="0" collapsed="false">
      <c r="A13" s="5" t="n">
        <v>6</v>
      </c>
      <c r="B13" s="22" t="s">
        <v>303</v>
      </c>
      <c r="C13" s="7" t="n">
        <f aca="false">'Trip Calculator'!G10</f>
        <v>3200000</v>
      </c>
      <c r="D13" s="7" t="n">
        <f aca="false">'Trip Calculator'!Z10</f>
        <v>155643.243243243</v>
      </c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45" hidden="false" customHeight="true" outlineLevel="0" collapsed="false">
      <c r="A16" s="8" t="s">
        <v>304</v>
      </c>
      <c r="B16" s="8" t="s">
        <v>305</v>
      </c>
      <c r="C16" s="8" t="s">
        <v>306</v>
      </c>
      <c r="D16" s="8" t="s">
        <v>307</v>
      </c>
      <c r="E16" s="8" t="s">
        <v>308</v>
      </c>
      <c r="F16" s="8" t="s">
        <v>309</v>
      </c>
      <c r="G16" s="8" t="s">
        <v>310</v>
      </c>
      <c r="H16" s="8" t="s">
        <v>311</v>
      </c>
      <c r="I16" s="8" t="s">
        <v>312</v>
      </c>
    </row>
    <row r="17" customFormat="false" ht="15" hidden="false" customHeight="false" outlineLevel="0" collapsed="false">
      <c r="A17" s="5" t="n">
        <v>0</v>
      </c>
      <c r="B17" s="32" t="n">
        <f aca="false">IF(A17&lt;Settings!$B$10,Settings!$B$11,IF(A17&lt;Settings!$B$12,Settings!$B$13,IF(A17&lt;Settings!$B$14,Settings!$B$15,1)))</f>
        <v>20</v>
      </c>
      <c r="C17" s="21" t="n">
        <v>0</v>
      </c>
      <c r="D17" s="21" t="n">
        <f aca="false">$B$4</f>
        <v>1500000</v>
      </c>
      <c r="E17" s="5" t="n">
        <v>1</v>
      </c>
      <c r="F17" s="5" t="n">
        <f aca="false">IF(E17&lt;=6,IF(D17&gt;=INDEX($C$8:$C$13,E17),1,0),0)</f>
        <v>1</v>
      </c>
      <c r="G17" s="21" t="n">
        <f aca="false">D17-F17*IF(E17&lt;=6,INDEX($C$8:$C$13,E17),0)</f>
        <v>500000</v>
      </c>
      <c r="H17" s="21" t="n">
        <f aca="false">$B$5+F17*IF(E17&lt;=6,INDEX($D$8:$D$13,E17),0)</f>
        <v>165144.155844156</v>
      </c>
      <c r="I17" s="5" t="str">
        <f aca="false">IF(F17=1,"Bought: "&amp;INDEX($B$8:$B$13,E17),"")</f>
        <v>Bought: Tuntuni Mini on Dhaka city route</v>
      </c>
    </row>
    <row r="18" customFormat="false" ht="15" hidden="false" customHeight="false" outlineLevel="0" collapsed="false">
      <c r="A18" s="5" t="n">
        <v>5</v>
      </c>
      <c r="B18" s="32" t="n">
        <f aca="false">IF(A18&lt;Settings!$B$10,Settings!$B$11,IF(A18&lt;Settings!$B$12,Settings!$B$13,IF(A18&lt;Settings!$B$14,Settings!$B$15,1)))</f>
        <v>20</v>
      </c>
      <c r="C18" s="21" t="n">
        <f aca="false">H17*B17*5/60</f>
        <v>275240.25974026</v>
      </c>
      <c r="D18" s="21" t="n">
        <f aca="false">G17+C18</f>
        <v>775240.25974026</v>
      </c>
      <c r="E18" s="5" t="n">
        <f aca="false">E17+F17</f>
        <v>2</v>
      </c>
      <c r="F18" s="5" t="n">
        <f aca="false">IF(E18&lt;=6,IF(D18&gt;=INDEX($C$8:$C$13,E18),1,0),0)</f>
        <v>0</v>
      </c>
      <c r="G18" s="21" t="n">
        <f aca="false">D18-F18*IF(E18&lt;=6,INDEX($C$8:$C$13,E18),0)</f>
        <v>775240.25974026</v>
      </c>
      <c r="H18" s="21" t="n">
        <f aca="false">H17+F18*IF(E18&lt;=6,INDEX($D$8:$D$13,E18),0)</f>
        <v>165144.155844156</v>
      </c>
      <c r="I18" s="5" t="str">
        <f aca="false">IF(F18=1,"Bought: "&amp;INDEX($B$8:$B$13,E18),"")</f>
        <v/>
      </c>
    </row>
    <row r="19" customFormat="false" ht="15" hidden="false" customHeight="false" outlineLevel="0" collapsed="false">
      <c r="A19" s="5" t="n">
        <v>10</v>
      </c>
      <c r="B19" s="32" t="n">
        <f aca="false">IF(A19&lt;Settings!$B$10,Settings!$B$11,IF(A19&lt;Settings!$B$12,Settings!$B$13,IF(A19&lt;Settings!$B$14,Settings!$B$15,1)))</f>
        <v>20</v>
      </c>
      <c r="C19" s="21" t="n">
        <f aca="false">H18*B18*5/60</f>
        <v>275240.25974026</v>
      </c>
      <c r="D19" s="21" t="n">
        <f aca="false">G18+C19</f>
        <v>1050480.51948052</v>
      </c>
      <c r="E19" s="5" t="n">
        <f aca="false">E18+F18</f>
        <v>2</v>
      </c>
      <c r="F19" s="5" t="n">
        <f aca="false">IF(E19&lt;=6,IF(D19&gt;=INDEX($C$8:$C$13,E19),1,0),0)</f>
        <v>0</v>
      </c>
      <c r="G19" s="21" t="n">
        <f aca="false">D19-F19*IF(E19&lt;=6,INDEX($C$8:$C$13,E19),0)</f>
        <v>1050480.51948052</v>
      </c>
      <c r="H19" s="21" t="n">
        <f aca="false">H18+F19*IF(E19&lt;=6,INDEX($D$8:$D$13,E19),0)</f>
        <v>165144.155844156</v>
      </c>
      <c r="I19" s="5" t="str">
        <f aca="false">IF(F19=1,"Bought: "&amp;INDEX($B$8:$B$13,E19),"")</f>
        <v/>
      </c>
    </row>
    <row r="20" customFormat="false" ht="15" hidden="false" customHeight="false" outlineLevel="0" collapsed="false">
      <c r="A20" s="5" t="n">
        <v>15</v>
      </c>
      <c r="B20" s="32" t="n">
        <f aca="false">IF(A20&lt;Settings!$B$10,Settings!$B$11,IF(A20&lt;Settings!$B$12,Settings!$B$13,IF(A20&lt;Settings!$B$14,Settings!$B$15,1)))</f>
        <v>20</v>
      </c>
      <c r="C20" s="21" t="n">
        <f aca="false">H19*B19*5/60</f>
        <v>275240.25974026</v>
      </c>
      <c r="D20" s="21" t="n">
        <f aca="false">G19+C20</f>
        <v>1325720.77922078</v>
      </c>
      <c r="E20" s="5" t="n">
        <f aca="false">E19+F19</f>
        <v>2</v>
      </c>
      <c r="F20" s="5" t="n">
        <f aca="false">IF(E20&lt;=6,IF(D20&gt;=INDEX($C$8:$C$13,E20),1,0),0)</f>
        <v>1</v>
      </c>
      <c r="G20" s="21" t="n">
        <f aca="false">D20-F20*IF(E20&lt;=6,INDEX($C$8:$C$13,E20),0)</f>
        <v>25720.7792207792</v>
      </c>
      <c r="H20" s="21" t="n">
        <f aca="false">H19+F20*IF(E20&lt;=6,INDEX($D$8:$D$13,E20),0)</f>
        <v>247606.655844156</v>
      </c>
      <c r="I20" s="5" t="str">
        <f aca="false">IF(F20=1,"Bought: "&amp;INDEX($B$8:$B$13,E20),"")</f>
        <v>Bought: Sathi Plus to Narayanganj</v>
      </c>
    </row>
    <row r="21" customFormat="false" ht="15" hidden="false" customHeight="false" outlineLevel="0" collapsed="false">
      <c r="A21" s="33" t="n">
        <v>20</v>
      </c>
      <c r="B21" s="34" t="n">
        <f aca="false">IF(A21&lt;Settings!$B$10,Settings!$B$11,IF(A21&lt;Settings!$B$12,Settings!$B$13,IF(A21&lt;Settings!$B$14,Settings!$B$15,1)))</f>
        <v>10</v>
      </c>
      <c r="C21" s="35" t="n">
        <f aca="false">H20*B20*5/60</f>
        <v>412677.75974026</v>
      </c>
      <c r="D21" s="35" t="n">
        <f aca="false">G20+C21</f>
        <v>438398.538961039</v>
      </c>
      <c r="E21" s="33" t="n">
        <f aca="false">E20+F20</f>
        <v>3</v>
      </c>
      <c r="F21" s="33" t="n">
        <f aca="false">IF(E21&lt;=6,IF(D21&gt;=INDEX($C$8:$C$13,E21),1,0),0)</f>
        <v>0</v>
      </c>
      <c r="G21" s="35" t="n">
        <f aca="false">D21-F21*IF(E21&lt;=6,INDEX($C$8:$C$13,E21),0)</f>
        <v>438398.538961039</v>
      </c>
      <c r="H21" s="35" t="n">
        <f aca="false">H20+F21*IF(E21&lt;=6,INDEX($D$8:$D$13,E21),0)</f>
        <v>247606.655844156</v>
      </c>
      <c r="I21" s="33" t="str">
        <f aca="false">IF(F21=1,"Bought: "&amp;INDEX($B$8:$B$13,E21),"")</f>
        <v/>
      </c>
    </row>
    <row r="22" customFormat="false" ht="15" hidden="false" customHeight="false" outlineLevel="0" collapsed="false">
      <c r="A22" s="5" t="n">
        <v>25</v>
      </c>
      <c r="B22" s="32" t="n">
        <f aca="false">IF(A22&lt;Settings!$B$10,Settings!$B$11,IF(A22&lt;Settings!$B$12,Settings!$B$13,IF(A22&lt;Settings!$B$14,Settings!$B$15,1)))</f>
        <v>10</v>
      </c>
      <c r="C22" s="21" t="n">
        <f aca="false">H21*B21*5/60</f>
        <v>206338.87987013</v>
      </c>
      <c r="D22" s="21" t="n">
        <f aca="false">G21+C22</f>
        <v>644737.418831169</v>
      </c>
      <c r="E22" s="5" t="n">
        <f aca="false">E21+F21</f>
        <v>3</v>
      </c>
      <c r="F22" s="5" t="n">
        <f aca="false">IF(E22&lt;=6,IF(D22&gt;=INDEX($C$8:$C$13,E22),1,0),0)</f>
        <v>0</v>
      </c>
      <c r="G22" s="21" t="n">
        <f aca="false">D22-F22*IF(E22&lt;=6,INDEX($C$8:$C$13,E22),0)</f>
        <v>644737.418831169</v>
      </c>
      <c r="H22" s="21" t="n">
        <f aca="false">H21+F22*IF(E22&lt;=6,INDEX($D$8:$D$13,E22),0)</f>
        <v>247606.655844156</v>
      </c>
      <c r="I22" s="5" t="str">
        <f aca="false">IF(F22=1,"Bought: "&amp;INDEX($B$8:$B$13,E22),"")</f>
        <v/>
      </c>
    </row>
    <row r="23" customFormat="false" ht="15" hidden="false" customHeight="false" outlineLevel="0" collapsed="false">
      <c r="A23" s="5" t="n">
        <v>30</v>
      </c>
      <c r="B23" s="32" t="n">
        <f aca="false">IF(A23&lt;Settings!$B$10,Settings!$B$11,IF(A23&lt;Settings!$B$12,Settings!$B$13,IF(A23&lt;Settings!$B$14,Settings!$B$15,1)))</f>
        <v>10</v>
      </c>
      <c r="C23" s="21" t="n">
        <f aca="false">H22*B22*5/60</f>
        <v>206338.87987013</v>
      </c>
      <c r="D23" s="21" t="n">
        <f aca="false">G22+C23</f>
        <v>851076.298701298</v>
      </c>
      <c r="E23" s="5" t="n">
        <f aca="false">E22+F22</f>
        <v>3</v>
      </c>
      <c r="F23" s="5" t="n">
        <f aca="false">IF(E23&lt;=6,IF(D23&gt;=INDEX($C$8:$C$13,E23),1,0),0)</f>
        <v>1</v>
      </c>
      <c r="G23" s="21" t="n">
        <f aca="false">D23-F23*IF(E23&lt;=6,INDEX($C$8:$C$13,E23),0)</f>
        <v>51076.2987012984</v>
      </c>
      <c r="H23" s="21" t="n">
        <f aca="false">H22+F23*IF(E23&lt;=6,INDEX($D$8:$D$13,E23),0)</f>
        <v>247606.655844156</v>
      </c>
      <c r="I23" s="5" t="str">
        <f aca="false">IF(F23=1,"Bought: "&amp;INDEX($B$8:$B$13,E23),"")</f>
        <v>Bought: Terminal in Gazipur</v>
      </c>
    </row>
    <row r="24" customFormat="false" ht="15" hidden="false" customHeight="false" outlineLevel="0" collapsed="false">
      <c r="A24" s="5" t="n">
        <v>35</v>
      </c>
      <c r="B24" s="32" t="n">
        <f aca="false">IF(A24&lt;Settings!$B$10,Settings!$B$11,IF(A24&lt;Settings!$B$12,Settings!$B$13,IF(A24&lt;Settings!$B$14,Settings!$B$15,1)))</f>
        <v>10</v>
      </c>
      <c r="C24" s="21" t="n">
        <f aca="false">H23*B23*5/60</f>
        <v>206338.87987013</v>
      </c>
      <c r="D24" s="21" t="n">
        <f aca="false">G23+C24</f>
        <v>257415.178571428</v>
      </c>
      <c r="E24" s="5" t="n">
        <f aca="false">E23+F23</f>
        <v>4</v>
      </c>
      <c r="F24" s="5" t="n">
        <f aca="false">IF(E24&lt;=6,IF(D24&gt;=INDEX($C$8:$C$13,E24),1,0),0)</f>
        <v>0</v>
      </c>
      <c r="G24" s="21" t="n">
        <f aca="false">D24-F24*IF(E24&lt;=6,INDEX($C$8:$C$13,E24),0)</f>
        <v>257415.178571428</v>
      </c>
      <c r="H24" s="21" t="n">
        <f aca="false">H23+F24*IF(E24&lt;=6,INDEX($D$8:$D$13,E24),0)</f>
        <v>247606.655844156</v>
      </c>
      <c r="I24" s="5" t="str">
        <f aca="false">IF(F24=1,"Bought: "&amp;INDEX($B$8:$B$13,E24),"")</f>
        <v/>
      </c>
    </row>
    <row r="25" customFormat="false" ht="15" hidden="false" customHeight="false" outlineLevel="0" collapsed="false">
      <c r="A25" s="33" t="n">
        <v>40</v>
      </c>
      <c r="B25" s="34" t="n">
        <f aca="false">IF(A25&lt;Settings!$B$10,Settings!$B$11,IF(A25&lt;Settings!$B$12,Settings!$B$13,IF(A25&lt;Settings!$B$14,Settings!$B$15,1)))</f>
        <v>5</v>
      </c>
      <c r="C25" s="35" t="n">
        <f aca="false">H24*B24*5/60</f>
        <v>206338.87987013</v>
      </c>
      <c r="D25" s="35" t="n">
        <f aca="false">G24+C25</f>
        <v>463754.058441558</v>
      </c>
      <c r="E25" s="33" t="n">
        <f aca="false">E24+F24</f>
        <v>4</v>
      </c>
      <c r="F25" s="33" t="n">
        <f aca="false">IF(E25&lt;=6,IF(D25&gt;=INDEX($C$8:$C$13,E25),1,0),0)</f>
        <v>0</v>
      </c>
      <c r="G25" s="35" t="n">
        <f aca="false">D25-F25*IF(E25&lt;=6,INDEX($C$8:$C$13,E25),0)</f>
        <v>463754.058441558</v>
      </c>
      <c r="H25" s="35" t="n">
        <f aca="false">H24+F25*IF(E25&lt;=6,INDEX($D$8:$D$13,E25),0)</f>
        <v>247606.655844156</v>
      </c>
      <c r="I25" s="33" t="str">
        <f aca="false">IF(F25=1,"Bought: "&amp;INDEX($B$8:$B$13,E25),"")</f>
        <v/>
      </c>
    </row>
    <row r="26" customFormat="false" ht="15" hidden="false" customHeight="false" outlineLevel="0" collapsed="false">
      <c r="A26" s="5" t="n">
        <v>45</v>
      </c>
      <c r="B26" s="32" t="n">
        <f aca="false">IF(A26&lt;Settings!$B$10,Settings!$B$11,IF(A26&lt;Settings!$B$12,Settings!$B$13,IF(A26&lt;Settings!$B$14,Settings!$B$15,1)))</f>
        <v>5</v>
      </c>
      <c r="C26" s="21" t="n">
        <f aca="false">H25*B25*5/60</f>
        <v>103169.439935065</v>
      </c>
      <c r="D26" s="21" t="n">
        <f aca="false">G25+C26</f>
        <v>566923.498376623</v>
      </c>
      <c r="E26" s="5" t="n">
        <f aca="false">E25+F25</f>
        <v>4</v>
      </c>
      <c r="F26" s="5" t="n">
        <f aca="false">IF(E26&lt;=6,IF(D26&gt;=INDEX($C$8:$C$13,E26),1,0),0)</f>
        <v>0</v>
      </c>
      <c r="G26" s="21" t="n">
        <f aca="false">D26-F26*IF(E26&lt;=6,INDEX($C$8:$C$13,E26),0)</f>
        <v>566923.498376623</v>
      </c>
      <c r="H26" s="21" t="n">
        <f aca="false">H25+F26*IF(E26&lt;=6,INDEX($D$8:$D$13,E26),0)</f>
        <v>247606.655844156</v>
      </c>
      <c r="I26" s="5" t="str">
        <f aca="false">IF(F26=1,"Bought: "&amp;INDEX($B$8:$B$13,E26),"")</f>
        <v/>
      </c>
    </row>
    <row r="27" customFormat="false" ht="15" hidden="false" customHeight="false" outlineLevel="0" collapsed="false">
      <c r="A27" s="5" t="n">
        <v>50</v>
      </c>
      <c r="B27" s="32" t="n">
        <f aca="false">IF(A27&lt;Settings!$B$10,Settings!$B$11,IF(A27&lt;Settings!$B$12,Settings!$B$13,IF(A27&lt;Settings!$B$14,Settings!$B$15,1)))</f>
        <v>5</v>
      </c>
      <c r="C27" s="21" t="n">
        <f aca="false">H26*B26*5/60</f>
        <v>103169.439935065</v>
      </c>
      <c r="D27" s="21" t="n">
        <f aca="false">G26+C27</f>
        <v>670092.938311688</v>
      </c>
      <c r="E27" s="5" t="n">
        <f aca="false">E26+F26</f>
        <v>4</v>
      </c>
      <c r="F27" s="5" t="n">
        <f aca="false">IF(E27&lt;=6,IF(D27&gt;=INDEX($C$8:$C$13,E27),1,0),0)</f>
        <v>0</v>
      </c>
      <c r="G27" s="21" t="n">
        <f aca="false">D27-F27*IF(E27&lt;=6,INDEX($C$8:$C$13,E27),0)</f>
        <v>670092.938311688</v>
      </c>
      <c r="H27" s="21" t="n">
        <f aca="false">H26+F27*IF(E27&lt;=6,INDEX($D$8:$D$13,E27),0)</f>
        <v>247606.655844156</v>
      </c>
      <c r="I27" s="5" t="str">
        <f aca="false">IF(F27=1,"Bought: "&amp;INDEX($B$8:$B$13,E27),"")</f>
        <v/>
      </c>
    </row>
    <row r="28" customFormat="false" ht="15" hidden="false" customHeight="false" outlineLevel="0" collapsed="false">
      <c r="A28" s="5" t="n">
        <v>55</v>
      </c>
      <c r="B28" s="32" t="n">
        <f aca="false">IF(A28&lt;Settings!$B$10,Settings!$B$11,IF(A28&lt;Settings!$B$12,Settings!$B$13,IF(A28&lt;Settings!$B$14,Settings!$B$15,1)))</f>
        <v>5</v>
      </c>
      <c r="C28" s="21" t="n">
        <f aca="false">H27*B27*5/60</f>
        <v>103169.439935065</v>
      </c>
      <c r="D28" s="21" t="n">
        <f aca="false">G27+C28</f>
        <v>773262.378246753</v>
      </c>
      <c r="E28" s="5" t="n">
        <f aca="false">E27+F27</f>
        <v>4</v>
      </c>
      <c r="F28" s="5" t="n">
        <f aca="false">IF(E28&lt;=6,IF(D28&gt;=INDEX($C$8:$C$13,E28),1,0),0)</f>
        <v>0</v>
      </c>
      <c r="G28" s="21" t="n">
        <f aca="false">D28-F28*IF(E28&lt;=6,INDEX($C$8:$C$13,E28),0)</f>
        <v>773262.378246753</v>
      </c>
      <c r="H28" s="21" t="n">
        <f aca="false">H27+F28*IF(E28&lt;=6,INDEX($D$8:$D$13,E28),0)</f>
        <v>247606.655844156</v>
      </c>
      <c r="I28" s="5" t="str">
        <f aca="false">IF(F28=1,"Bought: "&amp;INDEX($B$8:$B$13,E28),"")</f>
        <v/>
      </c>
    </row>
    <row r="29" customFormat="false" ht="15" hidden="false" customHeight="false" outlineLevel="0" collapsed="false">
      <c r="A29" s="33" t="n">
        <v>60</v>
      </c>
      <c r="B29" s="34" t="n">
        <f aca="false">IF(A29&lt;Settings!$B$10,Settings!$B$11,IF(A29&lt;Settings!$B$12,Settings!$B$13,IF(A29&lt;Settings!$B$14,Settings!$B$15,1)))</f>
        <v>1</v>
      </c>
      <c r="C29" s="35" t="n">
        <f aca="false">H28*B28*5/60</f>
        <v>103169.439935065</v>
      </c>
      <c r="D29" s="35" t="n">
        <f aca="false">G28+C29</f>
        <v>876431.818181818</v>
      </c>
      <c r="E29" s="33" t="n">
        <f aca="false">E28+F28</f>
        <v>4</v>
      </c>
      <c r="F29" s="33" t="n">
        <f aca="false">IF(E29&lt;=6,IF(D29&gt;=INDEX($C$8:$C$13,E29),1,0),0)</f>
        <v>0</v>
      </c>
      <c r="G29" s="35" t="n">
        <f aca="false">D29-F29*IF(E29&lt;=6,INDEX($C$8:$C$13,E29),0)</f>
        <v>876431.818181818</v>
      </c>
      <c r="H29" s="35" t="n">
        <f aca="false">H28+F29*IF(E29&lt;=6,INDEX($D$8:$D$13,E29),0)</f>
        <v>247606.655844156</v>
      </c>
      <c r="I29" s="33" t="str">
        <f aca="false">IF(F29=1,"Bought: "&amp;INDEX($B$8:$B$13,E29),"")</f>
        <v/>
      </c>
    </row>
    <row r="30" customFormat="false" ht="15" hidden="false" customHeight="false" outlineLevel="0" collapsed="false">
      <c r="A30" s="5" t="n">
        <v>65</v>
      </c>
      <c r="B30" s="32" t="n">
        <f aca="false">IF(A30&lt;Settings!$B$10,Settings!$B$11,IF(A30&lt;Settings!$B$12,Settings!$B$13,IF(A30&lt;Settings!$B$14,Settings!$B$15,1)))</f>
        <v>1</v>
      </c>
      <c r="C30" s="21" t="n">
        <f aca="false">H29*B29*5/60</f>
        <v>20633.887987013</v>
      </c>
      <c r="D30" s="21" t="n">
        <f aca="false">G29+C30</f>
        <v>897065.706168831</v>
      </c>
      <c r="E30" s="5" t="n">
        <f aca="false">E29+F29</f>
        <v>4</v>
      </c>
      <c r="F30" s="5" t="n">
        <f aca="false">IF(E30&lt;=6,IF(D30&gt;=INDEX($C$8:$C$13,E30),1,0),0)</f>
        <v>0</v>
      </c>
      <c r="G30" s="21" t="n">
        <f aca="false">D30-F30*IF(E30&lt;=6,INDEX($C$8:$C$13,E30),0)</f>
        <v>897065.706168831</v>
      </c>
      <c r="H30" s="21" t="n">
        <f aca="false">H29+F30*IF(E30&lt;=6,INDEX($D$8:$D$13,E30),0)</f>
        <v>247606.655844156</v>
      </c>
      <c r="I30" s="5" t="str">
        <f aca="false">IF(F30=1,"Bought: "&amp;INDEX($B$8:$B$13,E30),"")</f>
        <v/>
      </c>
    </row>
    <row r="31" customFormat="false" ht="15" hidden="false" customHeight="false" outlineLevel="0" collapsed="false">
      <c r="A31" s="5" t="n">
        <v>70</v>
      </c>
      <c r="B31" s="32" t="n">
        <f aca="false">IF(A31&lt;Settings!$B$10,Settings!$B$11,IF(A31&lt;Settings!$B$12,Settings!$B$13,IF(A31&lt;Settings!$B$14,Settings!$B$15,1)))</f>
        <v>1</v>
      </c>
      <c r="C31" s="21" t="n">
        <f aca="false">H30*B30*5/60</f>
        <v>20633.887987013</v>
      </c>
      <c r="D31" s="21" t="n">
        <f aca="false">G30+C31</f>
        <v>917699.594155844</v>
      </c>
      <c r="E31" s="5" t="n">
        <f aca="false">E30+F30</f>
        <v>4</v>
      </c>
      <c r="F31" s="5" t="n">
        <f aca="false">IF(E31&lt;=6,IF(D31&gt;=INDEX($C$8:$C$13,E31),1,0),0)</f>
        <v>0</v>
      </c>
      <c r="G31" s="21" t="n">
        <f aca="false">D31-F31*IF(E31&lt;=6,INDEX($C$8:$C$13,E31),0)</f>
        <v>917699.594155844</v>
      </c>
      <c r="H31" s="21" t="n">
        <f aca="false">H30+F31*IF(E31&lt;=6,INDEX($D$8:$D$13,E31),0)</f>
        <v>247606.655844156</v>
      </c>
      <c r="I31" s="5" t="str">
        <f aca="false">IF(F31=1,"Bought: "&amp;INDEX($B$8:$B$13,E31),"")</f>
        <v/>
      </c>
    </row>
    <row r="32" customFormat="false" ht="15" hidden="false" customHeight="false" outlineLevel="0" collapsed="false">
      <c r="A32" s="5" t="n">
        <v>75</v>
      </c>
      <c r="B32" s="32" t="n">
        <f aca="false">IF(A32&lt;Settings!$B$10,Settings!$B$11,IF(A32&lt;Settings!$B$12,Settings!$B$13,IF(A32&lt;Settings!$B$14,Settings!$B$15,1)))</f>
        <v>1</v>
      </c>
      <c r="C32" s="21" t="n">
        <f aca="false">H31*B31*5/60</f>
        <v>20633.887987013</v>
      </c>
      <c r="D32" s="21" t="n">
        <f aca="false">G31+C32</f>
        <v>938333.482142857</v>
      </c>
      <c r="E32" s="5" t="n">
        <f aca="false">E31+F31</f>
        <v>4</v>
      </c>
      <c r="F32" s="5" t="n">
        <f aca="false">IF(E32&lt;=6,IF(D32&gt;=INDEX($C$8:$C$13,E32),1,0),0)</f>
        <v>0</v>
      </c>
      <c r="G32" s="21" t="n">
        <f aca="false">D32-F32*IF(E32&lt;=6,INDEX($C$8:$C$13,E32),0)</f>
        <v>938333.482142857</v>
      </c>
      <c r="H32" s="21" t="n">
        <f aca="false">H31+F32*IF(E32&lt;=6,INDEX($D$8:$D$13,E32),0)</f>
        <v>247606.655844156</v>
      </c>
      <c r="I32" s="5" t="str">
        <f aca="false">IF(F32=1,"Bought: "&amp;INDEX($B$8:$B$13,E32),"")</f>
        <v/>
      </c>
    </row>
    <row r="33" customFormat="false" ht="15" hidden="false" customHeight="false" outlineLevel="0" collapsed="false">
      <c r="A33" s="5" t="n">
        <v>80</v>
      </c>
      <c r="B33" s="32" t="n">
        <f aca="false">IF(A33&lt;Settings!$B$10,Settings!$B$11,IF(A33&lt;Settings!$B$12,Settings!$B$13,IF(A33&lt;Settings!$B$14,Settings!$B$15,1)))</f>
        <v>1</v>
      </c>
      <c r="C33" s="21" t="n">
        <f aca="false">H32*B32*5/60</f>
        <v>20633.887987013</v>
      </c>
      <c r="D33" s="21" t="n">
        <f aca="false">G32+C33</f>
        <v>958967.370129869</v>
      </c>
      <c r="E33" s="5" t="n">
        <f aca="false">E32+F32</f>
        <v>4</v>
      </c>
      <c r="F33" s="5" t="n">
        <f aca="false">IF(E33&lt;=6,IF(D33&gt;=INDEX($C$8:$C$13,E33),1,0),0)</f>
        <v>0</v>
      </c>
      <c r="G33" s="21" t="n">
        <f aca="false">D33-F33*IF(E33&lt;=6,INDEX($C$8:$C$13,E33),0)</f>
        <v>958967.370129869</v>
      </c>
      <c r="H33" s="21" t="n">
        <f aca="false">H32+F33*IF(E33&lt;=6,INDEX($D$8:$D$13,E33),0)</f>
        <v>247606.655844156</v>
      </c>
      <c r="I33" s="5" t="str">
        <f aca="false">IF(F33=1,"Bought: "&amp;INDEX($B$8:$B$13,E33),"")</f>
        <v/>
      </c>
    </row>
    <row r="34" customFormat="false" ht="15" hidden="false" customHeight="false" outlineLevel="0" collapsed="false">
      <c r="A34" s="5" t="n">
        <v>85</v>
      </c>
      <c r="B34" s="32" t="n">
        <f aca="false">IF(A34&lt;Settings!$B$10,Settings!$B$11,IF(A34&lt;Settings!$B$12,Settings!$B$13,IF(A34&lt;Settings!$B$14,Settings!$B$15,1)))</f>
        <v>1</v>
      </c>
      <c r="C34" s="21" t="n">
        <f aca="false">H33*B33*5/60</f>
        <v>20633.887987013</v>
      </c>
      <c r="D34" s="21" t="n">
        <f aca="false">G33+C34</f>
        <v>979601.258116882</v>
      </c>
      <c r="E34" s="5" t="n">
        <f aca="false">E33+F33</f>
        <v>4</v>
      </c>
      <c r="F34" s="5" t="n">
        <f aca="false">IF(E34&lt;=6,IF(D34&gt;=INDEX($C$8:$C$13,E34),1,0),0)</f>
        <v>0</v>
      </c>
      <c r="G34" s="21" t="n">
        <f aca="false">D34-F34*IF(E34&lt;=6,INDEX($C$8:$C$13,E34),0)</f>
        <v>979601.258116882</v>
      </c>
      <c r="H34" s="21" t="n">
        <f aca="false">H33+F34*IF(E34&lt;=6,INDEX($D$8:$D$13,E34),0)</f>
        <v>247606.655844156</v>
      </c>
      <c r="I34" s="5" t="str">
        <f aca="false">IF(F34=1,"Bought: "&amp;INDEX($B$8:$B$13,E34),"")</f>
        <v/>
      </c>
    </row>
    <row r="35" customFormat="false" ht="15" hidden="false" customHeight="false" outlineLevel="0" collapsed="false">
      <c r="A35" s="5" t="n">
        <v>90</v>
      </c>
      <c r="B35" s="32" t="n">
        <f aca="false">IF(A35&lt;Settings!$B$10,Settings!$B$11,IF(A35&lt;Settings!$B$12,Settings!$B$13,IF(A35&lt;Settings!$B$14,Settings!$B$15,1)))</f>
        <v>1</v>
      </c>
      <c r="C35" s="21" t="n">
        <f aca="false">H34*B34*5/60</f>
        <v>20633.887987013</v>
      </c>
      <c r="D35" s="21" t="n">
        <f aca="false">G34+C35</f>
        <v>1000235.1461039</v>
      </c>
      <c r="E35" s="5" t="n">
        <f aca="false">E34+F34</f>
        <v>4</v>
      </c>
      <c r="F35" s="5" t="n">
        <f aca="false">IF(E35&lt;=6,IF(D35&gt;=INDEX($C$8:$C$13,E35),1,0),0)</f>
        <v>0</v>
      </c>
      <c r="G35" s="21" t="n">
        <f aca="false">D35-F35*IF(E35&lt;=6,INDEX($C$8:$C$13,E35),0)</f>
        <v>1000235.1461039</v>
      </c>
      <c r="H35" s="21" t="n">
        <f aca="false">H34+F35*IF(E35&lt;=6,INDEX($D$8:$D$13,E35),0)</f>
        <v>247606.655844156</v>
      </c>
      <c r="I35" s="5" t="str">
        <f aca="false">IF(F35=1,"Bought: "&amp;INDEX($B$8:$B$13,E35),"")</f>
        <v/>
      </c>
    </row>
    <row r="36" customFormat="false" ht="15" hidden="false" customHeight="false" outlineLevel="0" collapsed="false">
      <c r="A36" s="5" t="n">
        <v>95</v>
      </c>
      <c r="B36" s="32" t="n">
        <f aca="false">IF(A36&lt;Settings!$B$10,Settings!$B$11,IF(A36&lt;Settings!$B$12,Settings!$B$13,IF(A36&lt;Settings!$B$14,Settings!$B$15,1)))</f>
        <v>1</v>
      </c>
      <c r="C36" s="21" t="n">
        <f aca="false">H35*B35*5/60</f>
        <v>20633.887987013</v>
      </c>
      <c r="D36" s="21" t="n">
        <f aca="false">G35+C36</f>
        <v>1020869.03409091</v>
      </c>
      <c r="E36" s="5" t="n">
        <f aca="false">E35+F35</f>
        <v>4</v>
      </c>
      <c r="F36" s="5" t="n">
        <f aca="false">IF(E36&lt;=6,IF(D36&gt;=INDEX($C$8:$C$13,E36),1,0),0)</f>
        <v>0</v>
      </c>
      <c r="G36" s="21" t="n">
        <f aca="false">D36-F36*IF(E36&lt;=6,INDEX($C$8:$C$13,E36),0)</f>
        <v>1020869.03409091</v>
      </c>
      <c r="H36" s="21" t="n">
        <f aca="false">H35+F36*IF(E36&lt;=6,INDEX($D$8:$D$13,E36),0)</f>
        <v>247606.655844156</v>
      </c>
      <c r="I36" s="5" t="str">
        <f aca="false">IF(F36=1,"Bought: "&amp;INDEX($B$8:$B$13,E36),"")</f>
        <v/>
      </c>
    </row>
    <row r="37" customFormat="false" ht="15" hidden="false" customHeight="false" outlineLevel="0" collapsed="false">
      <c r="A37" s="5" t="n">
        <v>100</v>
      </c>
      <c r="B37" s="32" t="n">
        <f aca="false">IF(A37&lt;Settings!$B$10,Settings!$B$11,IF(A37&lt;Settings!$B$12,Settings!$B$13,IF(A37&lt;Settings!$B$14,Settings!$B$15,1)))</f>
        <v>1</v>
      </c>
      <c r="C37" s="21" t="n">
        <f aca="false">H36*B36*5/60</f>
        <v>20633.887987013</v>
      </c>
      <c r="D37" s="21" t="n">
        <f aca="false">G36+C37</f>
        <v>1041502.92207792</v>
      </c>
      <c r="E37" s="5" t="n">
        <f aca="false">E36+F36</f>
        <v>4</v>
      </c>
      <c r="F37" s="5" t="n">
        <f aca="false">IF(E37&lt;=6,IF(D37&gt;=INDEX($C$8:$C$13,E37),1,0),0)</f>
        <v>0</v>
      </c>
      <c r="G37" s="21" t="n">
        <f aca="false">D37-F37*IF(E37&lt;=6,INDEX($C$8:$C$13,E37),0)</f>
        <v>1041502.92207792</v>
      </c>
      <c r="H37" s="21" t="n">
        <f aca="false">H36+F37*IF(E37&lt;=6,INDEX($D$8:$D$13,E37),0)</f>
        <v>247606.655844156</v>
      </c>
      <c r="I37" s="5" t="str">
        <f aca="false">IF(F37=1,"Bought: "&amp;INDEX($B$8:$B$13,E37),"")</f>
        <v/>
      </c>
    </row>
    <row r="38" customFormat="false" ht="15" hidden="false" customHeight="false" outlineLevel="0" collapsed="false">
      <c r="A38" s="5" t="n">
        <v>105</v>
      </c>
      <c r="B38" s="32" t="n">
        <f aca="false">IF(A38&lt;Settings!$B$10,Settings!$B$11,IF(A38&lt;Settings!$B$12,Settings!$B$13,IF(A38&lt;Settings!$B$14,Settings!$B$15,1)))</f>
        <v>1</v>
      </c>
      <c r="C38" s="21" t="n">
        <f aca="false">H37*B37*5/60</f>
        <v>20633.887987013</v>
      </c>
      <c r="D38" s="21" t="n">
        <f aca="false">G37+C38</f>
        <v>1062136.81006493</v>
      </c>
      <c r="E38" s="5" t="n">
        <f aca="false">E37+F37</f>
        <v>4</v>
      </c>
      <c r="F38" s="5" t="n">
        <f aca="false">IF(E38&lt;=6,IF(D38&gt;=INDEX($C$8:$C$13,E38),1,0),0)</f>
        <v>0</v>
      </c>
      <c r="G38" s="21" t="n">
        <f aca="false">D38-F38*IF(E38&lt;=6,INDEX($C$8:$C$13,E38),0)</f>
        <v>1062136.81006493</v>
      </c>
      <c r="H38" s="21" t="n">
        <f aca="false">H37+F38*IF(E38&lt;=6,INDEX($D$8:$D$13,E38),0)</f>
        <v>247606.655844156</v>
      </c>
      <c r="I38" s="5" t="str">
        <f aca="false">IF(F38=1,"Bought: "&amp;INDEX($B$8:$B$13,E38),"")</f>
        <v/>
      </c>
    </row>
    <row r="39" customFormat="false" ht="15" hidden="false" customHeight="false" outlineLevel="0" collapsed="false">
      <c r="A39" s="5" t="n">
        <v>110</v>
      </c>
      <c r="B39" s="32" t="n">
        <f aca="false">IF(A39&lt;Settings!$B$10,Settings!$B$11,IF(A39&lt;Settings!$B$12,Settings!$B$13,IF(A39&lt;Settings!$B$14,Settings!$B$15,1)))</f>
        <v>1</v>
      </c>
      <c r="C39" s="21" t="n">
        <f aca="false">H38*B38*5/60</f>
        <v>20633.887987013</v>
      </c>
      <c r="D39" s="21" t="n">
        <f aca="false">G38+C39</f>
        <v>1082770.69805195</v>
      </c>
      <c r="E39" s="5" t="n">
        <f aca="false">E38+F38</f>
        <v>4</v>
      </c>
      <c r="F39" s="5" t="n">
        <f aca="false">IF(E39&lt;=6,IF(D39&gt;=INDEX($C$8:$C$13,E39),1,0),0)</f>
        <v>0</v>
      </c>
      <c r="G39" s="21" t="n">
        <f aca="false">D39-F39*IF(E39&lt;=6,INDEX($C$8:$C$13,E39),0)</f>
        <v>1082770.69805195</v>
      </c>
      <c r="H39" s="21" t="n">
        <f aca="false">H38+F39*IF(E39&lt;=6,INDEX($D$8:$D$13,E39),0)</f>
        <v>247606.655844156</v>
      </c>
      <c r="I39" s="5" t="str">
        <f aca="false">IF(F39=1,"Bought: "&amp;INDEX($B$8:$B$13,E39),"")</f>
        <v/>
      </c>
    </row>
    <row r="40" customFormat="false" ht="15" hidden="false" customHeight="false" outlineLevel="0" collapsed="false">
      <c r="A40" s="5" t="n">
        <v>115</v>
      </c>
      <c r="B40" s="32" t="n">
        <f aca="false">IF(A40&lt;Settings!$B$10,Settings!$B$11,IF(A40&lt;Settings!$B$12,Settings!$B$13,IF(A40&lt;Settings!$B$14,Settings!$B$15,1)))</f>
        <v>1</v>
      </c>
      <c r="C40" s="21" t="n">
        <f aca="false">H39*B39*5/60</f>
        <v>20633.887987013</v>
      </c>
      <c r="D40" s="21" t="n">
        <f aca="false">G39+C40</f>
        <v>1103404.58603896</v>
      </c>
      <c r="E40" s="5" t="n">
        <f aca="false">E39+F39</f>
        <v>4</v>
      </c>
      <c r="F40" s="5" t="n">
        <f aca="false">IF(E40&lt;=6,IF(D40&gt;=INDEX($C$8:$C$13,E40),1,0),0)</f>
        <v>0</v>
      </c>
      <c r="G40" s="21" t="n">
        <f aca="false">D40-F40*IF(E40&lt;=6,INDEX($C$8:$C$13,E40),0)</f>
        <v>1103404.58603896</v>
      </c>
      <c r="H40" s="21" t="n">
        <f aca="false">H39+F40*IF(E40&lt;=6,INDEX($D$8:$D$13,E40),0)</f>
        <v>247606.655844156</v>
      </c>
      <c r="I40" s="5" t="str">
        <f aca="false">IF(F40=1,"Bought: "&amp;INDEX($B$8:$B$13,E40),"")</f>
        <v/>
      </c>
    </row>
    <row r="41" customFormat="false" ht="15" hidden="false" customHeight="false" outlineLevel="0" collapsed="false">
      <c r="A41" s="5" t="n">
        <v>120</v>
      </c>
      <c r="B41" s="32" t="n">
        <f aca="false">IF(A41&lt;Settings!$B$10,Settings!$B$11,IF(A41&lt;Settings!$B$12,Settings!$B$13,IF(A41&lt;Settings!$B$14,Settings!$B$15,1)))</f>
        <v>1</v>
      </c>
      <c r="C41" s="21" t="n">
        <f aca="false">H40*B40*5/60</f>
        <v>20633.887987013</v>
      </c>
      <c r="D41" s="21" t="n">
        <f aca="false">G40+C41</f>
        <v>1124038.47402597</v>
      </c>
      <c r="E41" s="5" t="n">
        <f aca="false">E40+F40</f>
        <v>4</v>
      </c>
      <c r="F41" s="5" t="n">
        <f aca="false">IF(E41&lt;=6,IF(D41&gt;=INDEX($C$8:$C$13,E41),1,0),0)</f>
        <v>0</v>
      </c>
      <c r="G41" s="21" t="n">
        <f aca="false">D41-F41*IF(E41&lt;=6,INDEX($C$8:$C$13,E41),0)</f>
        <v>1124038.47402597</v>
      </c>
      <c r="H41" s="21" t="n">
        <f aca="false">H40+F41*IF(E41&lt;=6,INDEX($D$8:$D$13,E41),0)</f>
        <v>247606.655844156</v>
      </c>
      <c r="I41" s="5" t="str">
        <f aca="false">IF(F41=1,"Bought: "&amp;INDEX($B$8:$B$13,E41),"")</f>
        <v/>
      </c>
    </row>
    <row r="42" customFormat="false" ht="15" hidden="false" customHeight="false" outlineLevel="0" collapsed="false">
      <c r="A42" s="5" t="n">
        <v>125</v>
      </c>
      <c r="B42" s="32" t="n">
        <f aca="false">IF(A42&lt;Settings!$B$10,Settings!$B$11,IF(A42&lt;Settings!$B$12,Settings!$B$13,IF(A42&lt;Settings!$B$14,Settings!$B$15,1)))</f>
        <v>1</v>
      </c>
      <c r="C42" s="21" t="n">
        <f aca="false">H41*B41*5/60</f>
        <v>20633.887987013</v>
      </c>
      <c r="D42" s="21" t="n">
        <f aca="false">G41+C42</f>
        <v>1144672.36201299</v>
      </c>
      <c r="E42" s="5" t="n">
        <f aca="false">E41+F41</f>
        <v>4</v>
      </c>
      <c r="F42" s="5" t="n">
        <f aca="false">IF(E42&lt;=6,IF(D42&gt;=INDEX($C$8:$C$13,E42),1,0),0)</f>
        <v>0</v>
      </c>
      <c r="G42" s="21" t="n">
        <f aca="false">D42-F42*IF(E42&lt;=6,INDEX($C$8:$C$13,E42),0)</f>
        <v>1144672.36201299</v>
      </c>
      <c r="H42" s="21" t="n">
        <f aca="false">H41+F42*IF(E42&lt;=6,INDEX($D$8:$D$13,E42),0)</f>
        <v>247606.655844156</v>
      </c>
      <c r="I42" s="5" t="str">
        <f aca="false">IF(F42=1,"Bought: "&amp;INDEX($B$8:$B$13,E42),"")</f>
        <v/>
      </c>
    </row>
    <row r="43" customFormat="false" ht="15" hidden="false" customHeight="false" outlineLevel="0" collapsed="false">
      <c r="A43" s="5" t="n">
        <v>130</v>
      </c>
      <c r="B43" s="32" t="n">
        <f aca="false">IF(A43&lt;Settings!$B$10,Settings!$B$11,IF(A43&lt;Settings!$B$12,Settings!$B$13,IF(A43&lt;Settings!$B$14,Settings!$B$15,1)))</f>
        <v>1</v>
      </c>
      <c r="C43" s="21" t="n">
        <f aca="false">H42*B42*5/60</f>
        <v>20633.887987013</v>
      </c>
      <c r="D43" s="21" t="n">
        <f aca="false">G42+C43</f>
        <v>1165306.25</v>
      </c>
      <c r="E43" s="5" t="n">
        <f aca="false">E42+F42</f>
        <v>4</v>
      </c>
      <c r="F43" s="5" t="n">
        <f aca="false">IF(E43&lt;=6,IF(D43&gt;=INDEX($C$8:$C$13,E43),1,0),0)</f>
        <v>0</v>
      </c>
      <c r="G43" s="21" t="n">
        <f aca="false">D43-F43*IF(E43&lt;=6,INDEX($C$8:$C$13,E43),0)</f>
        <v>1165306.25</v>
      </c>
      <c r="H43" s="21" t="n">
        <f aca="false">H42+F43*IF(E43&lt;=6,INDEX($D$8:$D$13,E43),0)</f>
        <v>247606.655844156</v>
      </c>
      <c r="I43" s="5" t="str">
        <f aca="false">IF(F43=1,"Bought: "&amp;INDEX($B$8:$B$13,E43),"")</f>
        <v/>
      </c>
    </row>
    <row r="44" customFormat="false" ht="15" hidden="false" customHeight="false" outlineLevel="0" collapsed="false">
      <c r="A44" s="5" t="n">
        <v>135</v>
      </c>
      <c r="B44" s="32" t="n">
        <f aca="false">IF(A44&lt;Settings!$B$10,Settings!$B$11,IF(A44&lt;Settings!$B$12,Settings!$B$13,IF(A44&lt;Settings!$B$14,Settings!$B$15,1)))</f>
        <v>1</v>
      </c>
      <c r="C44" s="21" t="n">
        <f aca="false">H43*B43*5/60</f>
        <v>20633.887987013</v>
      </c>
      <c r="D44" s="21" t="n">
        <f aca="false">G43+C44</f>
        <v>1185940.13798701</v>
      </c>
      <c r="E44" s="5" t="n">
        <f aca="false">E43+F43</f>
        <v>4</v>
      </c>
      <c r="F44" s="5" t="n">
        <f aca="false">IF(E44&lt;=6,IF(D44&gt;=INDEX($C$8:$C$13,E44),1,0),0)</f>
        <v>0</v>
      </c>
      <c r="G44" s="21" t="n">
        <f aca="false">D44-F44*IF(E44&lt;=6,INDEX($C$8:$C$13,E44),0)</f>
        <v>1185940.13798701</v>
      </c>
      <c r="H44" s="21" t="n">
        <f aca="false">H43+F44*IF(E44&lt;=6,INDEX($D$8:$D$13,E44),0)</f>
        <v>247606.655844156</v>
      </c>
      <c r="I44" s="5" t="str">
        <f aca="false">IF(F44=1,"Bought: "&amp;INDEX($B$8:$B$13,E44),"")</f>
        <v/>
      </c>
    </row>
    <row r="45" customFormat="false" ht="15" hidden="false" customHeight="false" outlineLevel="0" collapsed="false">
      <c r="A45" s="5" t="n">
        <v>140</v>
      </c>
      <c r="B45" s="32" t="n">
        <f aca="false">IF(A45&lt;Settings!$B$10,Settings!$B$11,IF(A45&lt;Settings!$B$12,Settings!$B$13,IF(A45&lt;Settings!$B$14,Settings!$B$15,1)))</f>
        <v>1</v>
      </c>
      <c r="C45" s="21" t="n">
        <f aca="false">H44*B44*5/60</f>
        <v>20633.887987013</v>
      </c>
      <c r="D45" s="21" t="n">
        <f aca="false">G44+C45</f>
        <v>1206574.02597403</v>
      </c>
      <c r="E45" s="5" t="n">
        <f aca="false">E44+F44</f>
        <v>4</v>
      </c>
      <c r="F45" s="5" t="n">
        <f aca="false">IF(E45&lt;=6,IF(D45&gt;=INDEX($C$8:$C$13,E45),1,0),0)</f>
        <v>0</v>
      </c>
      <c r="G45" s="21" t="n">
        <f aca="false">D45-F45*IF(E45&lt;=6,INDEX($C$8:$C$13,E45),0)</f>
        <v>1206574.02597403</v>
      </c>
      <c r="H45" s="21" t="n">
        <f aca="false">H44+F45*IF(E45&lt;=6,INDEX($D$8:$D$13,E45),0)</f>
        <v>247606.655844156</v>
      </c>
      <c r="I45" s="5" t="str">
        <f aca="false">IF(F45=1,"Bought: "&amp;INDEX($B$8:$B$13,E45),"")</f>
        <v/>
      </c>
    </row>
    <row r="46" customFormat="false" ht="15" hidden="false" customHeight="false" outlineLevel="0" collapsed="false">
      <c r="A46" s="5" t="n">
        <v>145</v>
      </c>
      <c r="B46" s="32" t="n">
        <f aca="false">IF(A46&lt;Settings!$B$10,Settings!$B$11,IF(A46&lt;Settings!$B$12,Settings!$B$13,IF(A46&lt;Settings!$B$14,Settings!$B$15,1)))</f>
        <v>1</v>
      </c>
      <c r="C46" s="21" t="n">
        <f aca="false">H45*B45*5/60</f>
        <v>20633.887987013</v>
      </c>
      <c r="D46" s="21" t="n">
        <f aca="false">G45+C46</f>
        <v>1227207.91396104</v>
      </c>
      <c r="E46" s="5" t="n">
        <f aca="false">E45+F45</f>
        <v>4</v>
      </c>
      <c r="F46" s="5" t="n">
        <f aca="false">IF(E46&lt;=6,IF(D46&gt;=INDEX($C$8:$C$13,E46),1,0),0)</f>
        <v>0</v>
      </c>
      <c r="G46" s="21" t="n">
        <f aca="false">D46-F46*IF(E46&lt;=6,INDEX($C$8:$C$13,E46),0)</f>
        <v>1227207.91396104</v>
      </c>
      <c r="H46" s="21" t="n">
        <f aca="false">H45+F46*IF(E46&lt;=6,INDEX($D$8:$D$13,E46),0)</f>
        <v>247606.655844156</v>
      </c>
      <c r="I46" s="5" t="str">
        <f aca="false">IF(F46=1,"Bought: "&amp;INDEX($B$8:$B$13,E46),"")</f>
        <v/>
      </c>
    </row>
    <row r="47" customFormat="false" ht="15" hidden="false" customHeight="false" outlineLevel="0" collapsed="false">
      <c r="A47" s="5" t="n">
        <v>150</v>
      </c>
      <c r="B47" s="32" t="n">
        <f aca="false">IF(A47&lt;Settings!$B$10,Settings!$B$11,IF(A47&lt;Settings!$B$12,Settings!$B$13,IF(A47&lt;Settings!$B$14,Settings!$B$15,1)))</f>
        <v>1</v>
      </c>
      <c r="C47" s="21" t="n">
        <f aca="false">H46*B46*5/60</f>
        <v>20633.887987013</v>
      </c>
      <c r="D47" s="21" t="n">
        <f aca="false">G46+C47</f>
        <v>1247841.80194805</v>
      </c>
      <c r="E47" s="5" t="n">
        <f aca="false">E46+F46</f>
        <v>4</v>
      </c>
      <c r="F47" s="5" t="n">
        <f aca="false">IF(E47&lt;=6,IF(D47&gt;=INDEX($C$8:$C$13,E47),1,0),0)</f>
        <v>0</v>
      </c>
      <c r="G47" s="21" t="n">
        <f aca="false">D47-F47*IF(E47&lt;=6,INDEX($C$8:$C$13,E47),0)</f>
        <v>1247841.80194805</v>
      </c>
      <c r="H47" s="21" t="n">
        <f aca="false">H46+F47*IF(E47&lt;=6,INDEX($D$8:$D$13,E47),0)</f>
        <v>247606.655844156</v>
      </c>
      <c r="I47" s="5" t="str">
        <f aca="false">IF(F47=1,"Bought: "&amp;INDEX($B$8:$B$13,E47),"")</f>
        <v/>
      </c>
    </row>
    <row r="48" customFormat="false" ht="15" hidden="false" customHeight="false" outlineLevel="0" collapsed="false">
      <c r="A48" s="5" t="n">
        <v>155</v>
      </c>
      <c r="B48" s="32" t="n">
        <f aca="false">IF(A48&lt;Settings!$B$10,Settings!$B$11,IF(A48&lt;Settings!$B$12,Settings!$B$13,IF(A48&lt;Settings!$B$14,Settings!$B$15,1)))</f>
        <v>1</v>
      </c>
      <c r="C48" s="21" t="n">
        <f aca="false">H47*B47*5/60</f>
        <v>20633.887987013</v>
      </c>
      <c r="D48" s="21" t="n">
        <f aca="false">G47+C48</f>
        <v>1268475.68993506</v>
      </c>
      <c r="E48" s="5" t="n">
        <f aca="false">E47+F47</f>
        <v>4</v>
      </c>
      <c r="F48" s="5" t="n">
        <f aca="false">IF(E48&lt;=6,IF(D48&gt;=INDEX($C$8:$C$13,E48),1,0),0)</f>
        <v>0</v>
      </c>
      <c r="G48" s="21" t="n">
        <f aca="false">D48-F48*IF(E48&lt;=6,INDEX($C$8:$C$13,E48),0)</f>
        <v>1268475.68993506</v>
      </c>
      <c r="H48" s="21" t="n">
        <f aca="false">H47+F48*IF(E48&lt;=6,INDEX($D$8:$D$13,E48),0)</f>
        <v>247606.655844156</v>
      </c>
      <c r="I48" s="5" t="str">
        <f aca="false">IF(F48=1,"Bought: "&amp;INDEX($B$8:$B$13,E48),"")</f>
        <v/>
      </c>
    </row>
    <row r="49" customFormat="false" ht="15" hidden="false" customHeight="false" outlineLevel="0" collapsed="false">
      <c r="A49" s="5" t="n">
        <v>160</v>
      </c>
      <c r="B49" s="32" t="n">
        <f aca="false">IF(A49&lt;Settings!$B$10,Settings!$B$11,IF(A49&lt;Settings!$B$12,Settings!$B$13,IF(A49&lt;Settings!$B$14,Settings!$B$15,1)))</f>
        <v>1</v>
      </c>
      <c r="C49" s="21" t="n">
        <f aca="false">H48*B48*5/60</f>
        <v>20633.887987013</v>
      </c>
      <c r="D49" s="21" t="n">
        <f aca="false">G48+C49</f>
        <v>1289109.57792208</v>
      </c>
      <c r="E49" s="5" t="n">
        <f aca="false">E48+F48</f>
        <v>4</v>
      </c>
      <c r="F49" s="5" t="n">
        <f aca="false">IF(E49&lt;=6,IF(D49&gt;=INDEX($C$8:$C$13,E49),1,0),0)</f>
        <v>0</v>
      </c>
      <c r="G49" s="21" t="n">
        <f aca="false">D49-F49*IF(E49&lt;=6,INDEX($C$8:$C$13,E49),0)</f>
        <v>1289109.57792208</v>
      </c>
      <c r="H49" s="21" t="n">
        <f aca="false">H48+F49*IF(E49&lt;=6,INDEX($D$8:$D$13,E49),0)</f>
        <v>247606.655844156</v>
      </c>
      <c r="I49" s="5" t="str">
        <f aca="false">IF(F49=1,"Bought: "&amp;INDEX($B$8:$B$13,E49),"")</f>
        <v/>
      </c>
    </row>
    <row r="50" customFormat="false" ht="15" hidden="false" customHeight="false" outlineLevel="0" collapsed="false">
      <c r="A50" s="5" t="n">
        <v>165</v>
      </c>
      <c r="B50" s="32" t="n">
        <f aca="false">IF(A50&lt;Settings!$B$10,Settings!$B$11,IF(A50&lt;Settings!$B$12,Settings!$B$13,IF(A50&lt;Settings!$B$14,Settings!$B$15,1)))</f>
        <v>1</v>
      </c>
      <c r="C50" s="21" t="n">
        <f aca="false">H49*B49*5/60</f>
        <v>20633.887987013</v>
      </c>
      <c r="D50" s="21" t="n">
        <f aca="false">G49+C50</f>
        <v>1309743.46590909</v>
      </c>
      <c r="E50" s="5" t="n">
        <f aca="false">E49+F49</f>
        <v>4</v>
      </c>
      <c r="F50" s="5" t="n">
        <f aca="false">IF(E50&lt;=6,IF(D50&gt;=INDEX($C$8:$C$13,E50),1,0),0)</f>
        <v>1</v>
      </c>
      <c r="G50" s="21" t="n">
        <f aca="false">D50-F50*IF(E50&lt;=6,INDEX($C$8:$C$13,E50),0)</f>
        <v>9743.46590909013</v>
      </c>
      <c r="H50" s="21" t="n">
        <f aca="false">H49+F50*IF(E50&lt;=6,INDEX($D$8:$D$13,E50),0)</f>
        <v>309175.405844156</v>
      </c>
      <c r="I50" s="5" t="str">
        <f aca="false">IF(F50=1,"Bought: "&amp;INDEX($B$8:$B$13,E50),"")</f>
        <v>Bought: Sathi Plus to Gazipur</v>
      </c>
    </row>
    <row r="51" customFormat="false" ht="15" hidden="false" customHeight="false" outlineLevel="0" collapsed="false">
      <c r="A51" s="5" t="n">
        <v>170</v>
      </c>
      <c r="B51" s="32" t="n">
        <f aca="false">IF(A51&lt;Settings!$B$10,Settings!$B$11,IF(A51&lt;Settings!$B$12,Settings!$B$13,IF(A51&lt;Settings!$B$14,Settings!$B$15,1)))</f>
        <v>1</v>
      </c>
      <c r="C51" s="21" t="n">
        <f aca="false">H50*B50*5/60</f>
        <v>25764.6171536797</v>
      </c>
      <c r="D51" s="21" t="n">
        <f aca="false">G50+C51</f>
        <v>35508.0830627698</v>
      </c>
      <c r="E51" s="5" t="n">
        <f aca="false">E50+F50</f>
        <v>5</v>
      </c>
      <c r="F51" s="5" t="n">
        <f aca="false">IF(E51&lt;=6,IF(D51&gt;=INDEX($C$8:$C$13,E51),1,0),0)</f>
        <v>0</v>
      </c>
      <c r="G51" s="21" t="n">
        <f aca="false">D51-F51*IF(E51&lt;=6,INDEX($C$8:$C$13,E51),0)</f>
        <v>35508.0830627698</v>
      </c>
      <c r="H51" s="21" t="n">
        <f aca="false">H50+F51*IF(E51&lt;=6,INDEX($D$8:$D$13,E51),0)</f>
        <v>309175.405844156</v>
      </c>
      <c r="I51" s="5" t="str">
        <f aca="false">IF(F51=1,"Bought: "&amp;INDEX($B$8:$B$13,E51),"")</f>
        <v/>
      </c>
    </row>
    <row r="52" customFormat="false" ht="15" hidden="false" customHeight="false" outlineLevel="0" collapsed="false">
      <c r="A52" s="5" t="n">
        <v>175</v>
      </c>
      <c r="B52" s="32" t="n">
        <f aca="false">IF(A52&lt;Settings!$B$10,Settings!$B$11,IF(A52&lt;Settings!$B$12,Settings!$B$13,IF(A52&lt;Settings!$B$14,Settings!$B$15,1)))</f>
        <v>1</v>
      </c>
      <c r="C52" s="21" t="n">
        <f aca="false">H51*B51*5/60</f>
        <v>25764.6171536797</v>
      </c>
      <c r="D52" s="21" t="n">
        <f aca="false">G51+C52</f>
        <v>61272.7002164494</v>
      </c>
      <c r="E52" s="5" t="n">
        <f aca="false">E51+F51</f>
        <v>5</v>
      </c>
      <c r="F52" s="5" t="n">
        <f aca="false">IF(E52&lt;=6,IF(D52&gt;=INDEX($C$8:$C$13,E52),1,0),0)</f>
        <v>0</v>
      </c>
      <c r="G52" s="21" t="n">
        <f aca="false">D52-F52*IF(E52&lt;=6,INDEX($C$8:$C$13,E52),0)</f>
        <v>61272.7002164494</v>
      </c>
      <c r="H52" s="21" t="n">
        <f aca="false">H51+F52*IF(E52&lt;=6,INDEX($D$8:$D$13,E52),0)</f>
        <v>309175.405844156</v>
      </c>
      <c r="I52" s="5" t="str">
        <f aca="false">IF(F52=1,"Bought: "&amp;INDEX($B$8:$B$13,E52),"")</f>
        <v/>
      </c>
    </row>
    <row r="53" customFormat="false" ht="15" hidden="false" customHeight="false" outlineLevel="0" collapsed="false">
      <c r="A53" s="5" t="n">
        <v>180</v>
      </c>
      <c r="B53" s="32" t="n">
        <f aca="false">IF(A53&lt;Settings!$B$10,Settings!$B$11,IF(A53&lt;Settings!$B$12,Settings!$B$13,IF(A53&lt;Settings!$B$14,Settings!$B$15,1)))</f>
        <v>1</v>
      </c>
      <c r="C53" s="21" t="n">
        <f aca="false">H52*B52*5/60</f>
        <v>25764.6171536797</v>
      </c>
      <c r="D53" s="21" t="n">
        <f aca="false">G52+C53</f>
        <v>87037.3173701291</v>
      </c>
      <c r="E53" s="5" t="n">
        <f aca="false">E52+F52</f>
        <v>5</v>
      </c>
      <c r="F53" s="5" t="n">
        <f aca="false">IF(E53&lt;=6,IF(D53&gt;=INDEX($C$8:$C$13,E53),1,0),0)</f>
        <v>0</v>
      </c>
      <c r="G53" s="21" t="n">
        <f aca="false">D53-F53*IF(E53&lt;=6,INDEX($C$8:$C$13,E53),0)</f>
        <v>87037.3173701291</v>
      </c>
      <c r="H53" s="21" t="n">
        <f aca="false">H52+F53*IF(E53&lt;=6,INDEX($D$8:$D$13,E53),0)</f>
        <v>309175.405844156</v>
      </c>
      <c r="I53" s="5" t="str">
        <f aca="false">IF(F53=1,"Bought: "&amp;INDEX($B$8:$B$13,E53),"")</f>
        <v/>
      </c>
    </row>
    <row r="54" customFormat="false" ht="15" hidden="false" customHeight="false" outlineLevel="0" collapsed="false">
      <c r="A54" s="5" t="n">
        <v>185</v>
      </c>
      <c r="B54" s="32" t="n">
        <f aca="false">IF(A54&lt;Settings!$B$10,Settings!$B$11,IF(A54&lt;Settings!$B$12,Settings!$B$13,IF(A54&lt;Settings!$B$14,Settings!$B$15,1)))</f>
        <v>1</v>
      </c>
      <c r="C54" s="21" t="n">
        <f aca="false">H53*B53*5/60</f>
        <v>25764.6171536797</v>
      </c>
      <c r="D54" s="21" t="n">
        <f aca="false">G53+C54</f>
        <v>112801.934523809</v>
      </c>
      <c r="E54" s="5" t="n">
        <f aca="false">E53+F53</f>
        <v>5</v>
      </c>
      <c r="F54" s="5" t="n">
        <f aca="false">IF(E54&lt;=6,IF(D54&gt;=INDEX($C$8:$C$13,E54),1,0),0)</f>
        <v>0</v>
      </c>
      <c r="G54" s="21" t="n">
        <f aca="false">D54-F54*IF(E54&lt;=6,INDEX($C$8:$C$13,E54),0)</f>
        <v>112801.934523809</v>
      </c>
      <c r="H54" s="21" t="n">
        <f aca="false">H53+F54*IF(E54&lt;=6,INDEX($D$8:$D$13,E54),0)</f>
        <v>309175.405844156</v>
      </c>
      <c r="I54" s="5" t="str">
        <f aca="false">IF(F54=1,"Bought: "&amp;INDEX($B$8:$B$13,E54),"")</f>
        <v/>
      </c>
    </row>
    <row r="55" customFormat="false" ht="15" hidden="false" customHeight="false" outlineLevel="0" collapsed="false">
      <c r="A55" s="5" t="n">
        <v>190</v>
      </c>
      <c r="B55" s="32" t="n">
        <f aca="false">IF(A55&lt;Settings!$B$10,Settings!$B$11,IF(A55&lt;Settings!$B$12,Settings!$B$13,IF(A55&lt;Settings!$B$14,Settings!$B$15,1)))</f>
        <v>1</v>
      </c>
      <c r="C55" s="21" t="n">
        <f aca="false">H54*B54*5/60</f>
        <v>25764.6171536797</v>
      </c>
      <c r="D55" s="21" t="n">
        <f aca="false">G54+C55</f>
        <v>138566.551677488</v>
      </c>
      <c r="E55" s="5" t="n">
        <f aca="false">E54+F54</f>
        <v>5</v>
      </c>
      <c r="F55" s="5" t="n">
        <f aca="false">IF(E55&lt;=6,IF(D55&gt;=INDEX($C$8:$C$13,E55),1,0),0)</f>
        <v>0</v>
      </c>
      <c r="G55" s="21" t="n">
        <f aca="false">D55-F55*IF(E55&lt;=6,INDEX($C$8:$C$13,E55),0)</f>
        <v>138566.551677488</v>
      </c>
      <c r="H55" s="21" t="n">
        <f aca="false">H54+F55*IF(E55&lt;=6,INDEX($D$8:$D$13,E55),0)</f>
        <v>309175.405844156</v>
      </c>
      <c r="I55" s="5" t="str">
        <f aca="false">IF(F55=1,"Bought: "&amp;INDEX($B$8:$B$13,E55),"")</f>
        <v/>
      </c>
    </row>
    <row r="56" customFormat="false" ht="15" hidden="false" customHeight="false" outlineLevel="0" collapsed="false">
      <c r="A56" s="5" t="n">
        <v>195</v>
      </c>
      <c r="B56" s="32" t="n">
        <f aca="false">IF(A56&lt;Settings!$B$10,Settings!$B$11,IF(A56&lt;Settings!$B$12,Settings!$B$13,IF(A56&lt;Settings!$B$14,Settings!$B$15,1)))</f>
        <v>1</v>
      </c>
      <c r="C56" s="21" t="n">
        <f aca="false">H55*B55*5/60</f>
        <v>25764.6171536797</v>
      </c>
      <c r="D56" s="21" t="n">
        <f aca="false">G55+C56</f>
        <v>164331.168831168</v>
      </c>
      <c r="E56" s="5" t="n">
        <f aca="false">E55+F55</f>
        <v>5</v>
      </c>
      <c r="F56" s="5" t="n">
        <f aca="false">IF(E56&lt;=6,IF(D56&gt;=INDEX($C$8:$C$13,E56),1,0),0)</f>
        <v>0</v>
      </c>
      <c r="G56" s="21" t="n">
        <f aca="false">D56-F56*IF(E56&lt;=6,INDEX($C$8:$C$13,E56),0)</f>
        <v>164331.168831168</v>
      </c>
      <c r="H56" s="21" t="n">
        <f aca="false">H55+F56*IF(E56&lt;=6,INDEX($D$8:$D$13,E56),0)</f>
        <v>309175.405844156</v>
      </c>
      <c r="I56" s="5" t="str">
        <f aca="false">IF(F56=1,"Bought: "&amp;INDEX($B$8:$B$13,E56),"")</f>
        <v/>
      </c>
    </row>
    <row r="57" customFormat="false" ht="15" hidden="false" customHeight="false" outlineLevel="0" collapsed="false">
      <c r="A57" s="5" t="n">
        <v>200</v>
      </c>
      <c r="B57" s="32" t="n">
        <f aca="false">IF(A57&lt;Settings!$B$10,Settings!$B$11,IF(A57&lt;Settings!$B$12,Settings!$B$13,IF(A57&lt;Settings!$B$14,Settings!$B$15,1)))</f>
        <v>1</v>
      </c>
      <c r="C57" s="21" t="n">
        <f aca="false">H56*B56*5/60</f>
        <v>25764.6171536797</v>
      </c>
      <c r="D57" s="21" t="n">
        <f aca="false">G56+C57</f>
        <v>190095.785984848</v>
      </c>
      <c r="E57" s="5" t="n">
        <f aca="false">E56+F56</f>
        <v>5</v>
      </c>
      <c r="F57" s="5" t="n">
        <f aca="false">IF(E57&lt;=6,IF(D57&gt;=INDEX($C$8:$C$13,E57),1,0),0)</f>
        <v>0</v>
      </c>
      <c r="G57" s="21" t="n">
        <f aca="false">D57-F57*IF(E57&lt;=6,INDEX($C$8:$C$13,E57),0)</f>
        <v>190095.785984848</v>
      </c>
      <c r="H57" s="21" t="n">
        <f aca="false">H56+F57*IF(E57&lt;=6,INDEX($D$8:$D$13,E57),0)</f>
        <v>309175.405844156</v>
      </c>
      <c r="I57" s="5" t="str">
        <f aca="false">IF(F57=1,"Bought: "&amp;INDEX($B$8:$B$13,E57),"")</f>
        <v/>
      </c>
    </row>
    <row r="58" customFormat="false" ht="15" hidden="false" customHeight="false" outlineLevel="0" collapsed="false">
      <c r="A58" s="5" t="n">
        <v>205</v>
      </c>
      <c r="B58" s="32" t="n">
        <f aca="false">IF(A58&lt;Settings!$B$10,Settings!$B$11,IF(A58&lt;Settings!$B$12,Settings!$B$13,IF(A58&lt;Settings!$B$14,Settings!$B$15,1)))</f>
        <v>1</v>
      </c>
      <c r="C58" s="21" t="n">
        <f aca="false">H57*B57*5/60</f>
        <v>25764.6171536797</v>
      </c>
      <c r="D58" s="21" t="n">
        <f aca="false">G57+C58</f>
        <v>215860.403138527</v>
      </c>
      <c r="E58" s="5" t="n">
        <f aca="false">E57+F57</f>
        <v>5</v>
      </c>
      <c r="F58" s="5" t="n">
        <f aca="false">IF(E58&lt;=6,IF(D58&gt;=INDEX($C$8:$C$13,E58),1,0),0)</f>
        <v>0</v>
      </c>
      <c r="G58" s="21" t="n">
        <f aca="false">D58-F58*IF(E58&lt;=6,INDEX($C$8:$C$13,E58),0)</f>
        <v>215860.403138527</v>
      </c>
      <c r="H58" s="21" t="n">
        <f aca="false">H57+F58*IF(E58&lt;=6,INDEX($D$8:$D$13,E58),0)</f>
        <v>309175.405844156</v>
      </c>
      <c r="I58" s="5" t="str">
        <f aca="false">IF(F58=1,"Bought: "&amp;INDEX($B$8:$B$13,E58),"")</f>
        <v/>
      </c>
    </row>
    <row r="59" customFormat="false" ht="15" hidden="false" customHeight="false" outlineLevel="0" collapsed="false">
      <c r="A59" s="5" t="n">
        <v>210</v>
      </c>
      <c r="B59" s="32" t="n">
        <f aca="false">IF(A59&lt;Settings!$B$10,Settings!$B$11,IF(A59&lt;Settings!$B$12,Settings!$B$13,IF(A59&lt;Settings!$B$14,Settings!$B$15,1)))</f>
        <v>1</v>
      </c>
      <c r="C59" s="21" t="n">
        <f aca="false">H58*B58*5/60</f>
        <v>25764.6171536797</v>
      </c>
      <c r="D59" s="21" t="n">
        <f aca="false">G58+C59</f>
        <v>241625.020292207</v>
      </c>
      <c r="E59" s="5" t="n">
        <f aca="false">E58+F58</f>
        <v>5</v>
      </c>
      <c r="F59" s="5" t="n">
        <f aca="false">IF(E59&lt;=6,IF(D59&gt;=INDEX($C$8:$C$13,E59),1,0),0)</f>
        <v>0</v>
      </c>
      <c r="G59" s="21" t="n">
        <f aca="false">D59-F59*IF(E59&lt;=6,INDEX($C$8:$C$13,E59),0)</f>
        <v>241625.020292207</v>
      </c>
      <c r="H59" s="21" t="n">
        <f aca="false">H58+F59*IF(E59&lt;=6,INDEX($D$8:$D$13,E59),0)</f>
        <v>309175.405844156</v>
      </c>
      <c r="I59" s="5" t="str">
        <f aca="false">IF(F59=1,"Bought: "&amp;INDEX($B$8:$B$13,E59),"")</f>
        <v/>
      </c>
    </row>
    <row r="60" customFormat="false" ht="15" hidden="false" customHeight="false" outlineLevel="0" collapsed="false">
      <c r="A60" s="5" t="n">
        <v>215</v>
      </c>
      <c r="B60" s="32" t="n">
        <f aca="false">IF(A60&lt;Settings!$B$10,Settings!$B$11,IF(A60&lt;Settings!$B$12,Settings!$B$13,IF(A60&lt;Settings!$B$14,Settings!$B$15,1)))</f>
        <v>1</v>
      </c>
      <c r="C60" s="21" t="n">
        <f aca="false">H59*B59*5/60</f>
        <v>25764.6171536797</v>
      </c>
      <c r="D60" s="21" t="n">
        <f aca="false">G59+C60</f>
        <v>267389.637445887</v>
      </c>
      <c r="E60" s="5" t="n">
        <f aca="false">E59+F59</f>
        <v>5</v>
      </c>
      <c r="F60" s="5" t="n">
        <f aca="false">IF(E60&lt;=6,IF(D60&gt;=INDEX($C$8:$C$13,E60),1,0),0)</f>
        <v>0</v>
      </c>
      <c r="G60" s="21" t="n">
        <f aca="false">D60-F60*IF(E60&lt;=6,INDEX($C$8:$C$13,E60),0)</f>
        <v>267389.637445887</v>
      </c>
      <c r="H60" s="21" t="n">
        <f aca="false">H59+F60*IF(E60&lt;=6,INDEX($D$8:$D$13,E60),0)</f>
        <v>309175.405844156</v>
      </c>
      <c r="I60" s="5" t="str">
        <f aca="false">IF(F60=1,"Bought: "&amp;INDEX($B$8:$B$13,E60),"")</f>
        <v/>
      </c>
    </row>
    <row r="61" customFormat="false" ht="15" hidden="false" customHeight="false" outlineLevel="0" collapsed="false">
      <c r="A61" s="5" t="n">
        <v>220</v>
      </c>
      <c r="B61" s="32" t="n">
        <f aca="false">IF(A61&lt;Settings!$B$10,Settings!$B$11,IF(A61&lt;Settings!$B$12,Settings!$B$13,IF(A61&lt;Settings!$B$14,Settings!$B$15,1)))</f>
        <v>1</v>
      </c>
      <c r="C61" s="21" t="n">
        <f aca="false">H60*B60*5/60</f>
        <v>25764.6171536797</v>
      </c>
      <c r="D61" s="21" t="n">
        <f aca="false">G60+C61</f>
        <v>293154.254599566</v>
      </c>
      <c r="E61" s="5" t="n">
        <f aca="false">E60+F60</f>
        <v>5</v>
      </c>
      <c r="F61" s="5" t="n">
        <f aca="false">IF(E61&lt;=6,IF(D61&gt;=INDEX($C$8:$C$13,E61),1,0),0)</f>
        <v>0</v>
      </c>
      <c r="G61" s="21" t="n">
        <f aca="false">D61-F61*IF(E61&lt;=6,INDEX($C$8:$C$13,E61),0)</f>
        <v>293154.254599566</v>
      </c>
      <c r="H61" s="21" t="n">
        <f aca="false">H60+F61*IF(E61&lt;=6,INDEX($D$8:$D$13,E61),0)</f>
        <v>309175.405844156</v>
      </c>
      <c r="I61" s="5" t="str">
        <f aca="false">IF(F61=1,"Bought: "&amp;INDEX($B$8:$B$13,E61),"")</f>
        <v/>
      </c>
    </row>
    <row r="62" customFormat="false" ht="15" hidden="false" customHeight="false" outlineLevel="0" collapsed="false">
      <c r="A62" s="5" t="n">
        <v>225</v>
      </c>
      <c r="B62" s="32" t="n">
        <f aca="false">IF(A62&lt;Settings!$B$10,Settings!$B$11,IF(A62&lt;Settings!$B$12,Settings!$B$13,IF(A62&lt;Settings!$B$14,Settings!$B$15,1)))</f>
        <v>1</v>
      </c>
      <c r="C62" s="21" t="n">
        <f aca="false">H61*B61*5/60</f>
        <v>25764.6171536797</v>
      </c>
      <c r="D62" s="21" t="n">
        <f aca="false">G61+C62</f>
        <v>318918.871753246</v>
      </c>
      <c r="E62" s="5" t="n">
        <f aca="false">E61+F61</f>
        <v>5</v>
      </c>
      <c r="F62" s="5" t="n">
        <f aca="false">IF(E62&lt;=6,IF(D62&gt;=INDEX($C$8:$C$13,E62),1,0),0)</f>
        <v>0</v>
      </c>
      <c r="G62" s="21" t="n">
        <f aca="false">D62-F62*IF(E62&lt;=6,INDEX($C$8:$C$13,E62),0)</f>
        <v>318918.871753246</v>
      </c>
      <c r="H62" s="21" t="n">
        <f aca="false">H61+F62*IF(E62&lt;=6,INDEX($D$8:$D$13,E62),0)</f>
        <v>309175.405844156</v>
      </c>
      <c r="I62" s="5" t="str">
        <f aca="false">IF(F62=1,"Bought: "&amp;INDEX($B$8:$B$13,E62),"")</f>
        <v/>
      </c>
    </row>
    <row r="63" customFormat="false" ht="15" hidden="false" customHeight="false" outlineLevel="0" collapsed="false">
      <c r="A63" s="5" t="n">
        <v>230</v>
      </c>
      <c r="B63" s="32" t="n">
        <f aca="false">IF(A63&lt;Settings!$B$10,Settings!$B$11,IF(A63&lt;Settings!$B$12,Settings!$B$13,IF(A63&lt;Settings!$B$14,Settings!$B$15,1)))</f>
        <v>1</v>
      </c>
      <c r="C63" s="21" t="n">
        <f aca="false">H62*B62*5/60</f>
        <v>25764.6171536797</v>
      </c>
      <c r="D63" s="21" t="n">
        <f aca="false">G62+C63</f>
        <v>344683.488906926</v>
      </c>
      <c r="E63" s="5" t="n">
        <f aca="false">E62+F62</f>
        <v>5</v>
      </c>
      <c r="F63" s="5" t="n">
        <f aca="false">IF(E63&lt;=6,IF(D63&gt;=INDEX($C$8:$C$13,E63),1,0),0)</f>
        <v>0</v>
      </c>
      <c r="G63" s="21" t="n">
        <f aca="false">D63-F63*IF(E63&lt;=6,INDEX($C$8:$C$13,E63),0)</f>
        <v>344683.488906926</v>
      </c>
      <c r="H63" s="21" t="n">
        <f aca="false">H62+F63*IF(E63&lt;=6,INDEX($D$8:$D$13,E63),0)</f>
        <v>309175.405844156</v>
      </c>
      <c r="I63" s="5" t="str">
        <f aca="false">IF(F63=1,"Bought: "&amp;INDEX($B$8:$B$13,E63),"")</f>
        <v/>
      </c>
    </row>
    <row r="64" customFormat="false" ht="15" hidden="false" customHeight="false" outlineLevel="0" collapsed="false">
      <c r="A64" s="5" t="n">
        <v>235</v>
      </c>
      <c r="B64" s="32" t="n">
        <f aca="false">IF(A64&lt;Settings!$B$10,Settings!$B$11,IF(A64&lt;Settings!$B$12,Settings!$B$13,IF(A64&lt;Settings!$B$14,Settings!$B$15,1)))</f>
        <v>1</v>
      </c>
      <c r="C64" s="21" t="n">
        <f aca="false">H63*B63*5/60</f>
        <v>25764.6171536797</v>
      </c>
      <c r="D64" s="21" t="n">
        <f aca="false">G63+C64</f>
        <v>370448.106060605</v>
      </c>
      <c r="E64" s="5" t="n">
        <f aca="false">E63+F63</f>
        <v>5</v>
      </c>
      <c r="F64" s="5" t="n">
        <f aca="false">IF(E64&lt;=6,IF(D64&gt;=INDEX($C$8:$C$13,E64),1,0),0)</f>
        <v>0</v>
      </c>
      <c r="G64" s="21" t="n">
        <f aca="false">D64-F64*IF(E64&lt;=6,INDEX($C$8:$C$13,E64),0)</f>
        <v>370448.106060605</v>
      </c>
      <c r="H64" s="21" t="n">
        <f aca="false">H63+F64*IF(E64&lt;=6,INDEX($D$8:$D$13,E64),0)</f>
        <v>309175.405844156</v>
      </c>
      <c r="I64" s="5" t="str">
        <f aca="false">IF(F64=1,"Bought: "&amp;INDEX($B$8:$B$13,E64),"")</f>
        <v/>
      </c>
    </row>
    <row r="65" customFormat="false" ht="15" hidden="false" customHeight="false" outlineLevel="0" collapsed="false">
      <c r="A65" s="5" t="n">
        <v>240</v>
      </c>
      <c r="B65" s="32" t="n">
        <f aca="false">IF(A65&lt;Settings!$B$10,Settings!$B$11,IF(A65&lt;Settings!$B$12,Settings!$B$13,IF(A65&lt;Settings!$B$14,Settings!$B$15,1)))</f>
        <v>1</v>
      </c>
      <c r="C65" s="21" t="n">
        <f aca="false">H64*B64*5/60</f>
        <v>25764.6171536797</v>
      </c>
      <c r="D65" s="21" t="n">
        <f aca="false">G64+C65</f>
        <v>396212.723214285</v>
      </c>
      <c r="E65" s="5" t="n">
        <f aca="false">E64+F64</f>
        <v>5</v>
      </c>
      <c r="F65" s="5" t="n">
        <f aca="false">IF(E65&lt;=6,IF(D65&gt;=INDEX($C$8:$C$13,E65),1,0),0)</f>
        <v>0</v>
      </c>
      <c r="G65" s="21" t="n">
        <f aca="false">D65-F65*IF(E65&lt;=6,INDEX($C$8:$C$13,E65),0)</f>
        <v>396212.723214285</v>
      </c>
      <c r="H65" s="21" t="n">
        <f aca="false">H64+F65*IF(E65&lt;=6,INDEX($D$8:$D$13,E65),0)</f>
        <v>309175.405844156</v>
      </c>
      <c r="I65" s="5" t="str">
        <f aca="false">IF(F65=1,"Bought: "&amp;INDEX($B$8:$B$13,E65),"")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14" customWidth="true"/>
    <col min="2" max="2" width="22" customWidth="true"/>
    <col min="3" max="3" width="14" customWidth="true"/>
    <col min="4" max="4" width="20" customWidth="true"/>
    <col min="5" max="5" width="12" customWidth="true"/>
    <col min="6" max="6" width="16" customWidth="true"/>
    <col min="7" max="7" width="22" customWidth="true"/>
    <col min="8" max="8" width="16" customWidth="true"/>
    <col min="9" max="9" width="14" customWidth="true"/>
    <col min="10" max="10" width="70" customWidth="true"/>
  </cols>
  <sheetData>
    <row r="1" ht="17.35" customHeight="false">
      <c r="A1" s="1" t="inlineStr">
        <is>
          <t>Operating permits</t>
        </is>
      </c>
    </row>
    <row r="2">
      <c r="A2" s="2" t="inlineStr">
        <is>
          <t>One-time Taka purchases. A vehicle with an unlock permit id in the Vehicles sheet (column R) needs that permit; tier 3 needs deliveries instead (column V).</t>
        </is>
      </c>
    </row>
    <row r="3" ht="60" customHeight="true">
      <c r="A3" s="8" t="inlineStr">
        <is>
          <t>Permit id</t>
        </is>
      </c>
      <c r="B3" s="8" t="inlineStr">
        <is>
          <t>Name</t>
        </is>
      </c>
      <c r="C3" s="8" t="inlineStr">
        <is>
          <t>Price (Tk)</t>
        </is>
      </c>
      <c r="D3" s="8" t="inlineStr">
        <is>
          <t>Unlocks tiers (comma separated, no spaces)</t>
        </is>
      </c>
      <c r="E3" s="8" t="inlineStr">
        <is>
          <t>Cheapest unlocked tier</t>
        </is>
      </c>
      <c r="F3" s="8" t="inlineStr">
        <is>
          <t>Permit price as share of that vehicle's price</t>
        </is>
      </c>
      <c r="G3" s="8" t="inlineStr">
        <is>
          <t>Payback of that vehicle without the permit (real h, typical route)</t>
        </is>
      </c>
      <c r="H3" s="8" t="inlineStr">
        <is>
          <t>Payback with the permit (real h)</t>
        </is>
      </c>
      <c r="I3" s="8" t="inlineStr">
        <is>
          <t>Target payback max (real h)</t>
        </is>
      </c>
      <c r="J3" s="8" t="inlineStr">
        <is>
          <t>Reasoning</t>
        </is>
      </c>
    </row>
    <row r="4" ht="30" customHeight="true">
      <c r="A4" s="22" t="inlineStr">
        <is>
          <t>light</t>
        </is>
      </c>
      <c r="B4" s="22" t="inlineStr">
        <is>
          <t>Light operating permit</t>
        </is>
      </c>
      <c r="C4" s="15" t="n">
        <v>400000</v>
      </c>
      <c r="D4" s="22" t="inlineStr">
        <is>
          <t>5</t>
        </is>
      </c>
      <c r="E4" s="11" t="n">
        <v>5</v>
      </c>
      <c r="F4" s="5">
        <f>ROUND(C4/INDEX(Vehicles!$E$5:$E$16,MATCH(E4,Vehicles!$A$5:$A$16,0)),3)</f>
        <v>0.16</v>
      </c>
      <c r="G4" s="5">
        <f>ROUND(INDEX(Vehicles!$E$5:$E$16,MATCH(E4,Vehicles!$A$5:$A$16,0))/INDEX('Trip Calculator'!$Z$5:$Z$16,MATCH(E4,'Trip Calculator'!$B$5:$B$16,0)),1)</f>
        <v>11.8</v>
      </c>
      <c r="H4" s="5">
        <f>ROUND((INDEX(Vehicles!$E$5:$E$16,MATCH(E4,Vehicles!$A$5:$A$16,0))+C4)/INDEX('Trip Calculator'!$Z$5:$Z$16,MATCH(E4,'Trip Calculator'!$B$5:$B$16,0)),1)</f>
        <v>13.7</v>
      </c>
      <c r="I4" s="5">
        <f>INDEX(Vehicles!$T$5:$T$16,MATCH(E4,Vehicles!$A$5:$A$16,0))</f>
        <v>40</v>
      </c>
      <c r="J4" s="12" t="inlineStr">
        <is>
          <t>Confirmed price: about 15 to 17 percent of the cheapest vehicle it unlocks. It adds about 2 to 5.5 real hours to that vehicle's payback at 1x (columns G and H, typical route) and keeps it inside its target range. One-time purchase in Taka, never a premium currency.</t>
        </is>
      </c>
    </row>
    <row r="5" ht="30" customHeight="true">
      <c r="A5" s="22" t="inlineStr">
        <is>
          <t>medium</t>
        </is>
      </c>
      <c r="B5" s="22" t="inlineStr">
        <is>
          <t>Medium operating permit</t>
        </is>
      </c>
      <c r="C5" s="15" t="n">
        <v>500000</v>
      </c>
      <c r="D5" s="22" t="inlineStr">
        <is>
          <t>6,7</t>
        </is>
      </c>
      <c r="E5" s="11" t="n">
        <v>6</v>
      </c>
      <c r="F5" s="5">
        <f>ROUND(C5/INDEX(Vehicles!$E$5:$E$16,MATCH(E5,Vehicles!$A$5:$A$16,0)),3)</f>
        <v>0.156</v>
      </c>
      <c r="G5" s="5">
        <f>ROUND(INDEX(Vehicles!$E$5:$E$16,MATCH(E5,Vehicles!$A$5:$A$16,0))/INDEX('Trip Calculator'!$Z$5:$Z$16,MATCH(E5,'Trip Calculator'!$B$5:$B$16,0)),1)</f>
        <v>20.6</v>
      </c>
      <c r="H5" s="5">
        <f>ROUND((INDEX(Vehicles!$E$5:$E$16,MATCH(E5,Vehicles!$A$5:$A$16,0))+C5)/INDEX('Trip Calculator'!$Z$5:$Z$16,MATCH(E5,'Trip Calculator'!$B$5:$B$16,0)),1)</f>
        <v>23.8</v>
      </c>
      <c r="I5" s="5">
        <f>INDEX(Vehicles!$T$5:$T$16,MATCH(E5,Vehicles!$A$5:$A$16,0))</f>
        <v>40</v>
      </c>
      <c r="J5" s="12" t="inlineStr">
        <is>
          <t>Same rule as above.</t>
        </is>
      </c>
    </row>
    <row r="6" ht="30" customHeight="true">
      <c r="A6" s="22" t="inlineStr">
        <is>
          <t>coldchain</t>
        </is>
      </c>
      <c r="B6" s="22" t="inlineStr">
        <is>
          <t>Cold chain operating permit</t>
        </is>
      </c>
      <c r="C6" s="15" t="n">
        <v>700000</v>
      </c>
      <c r="D6" s="22" t="inlineStr">
        <is>
          <t>8</t>
        </is>
      </c>
      <c r="E6" s="11" t="n">
        <v>8</v>
      </c>
      <c r="F6" s="5">
        <f>ROUND(C6/INDEX(Vehicles!$E$5:$E$16,MATCH(E6,Vehicles!$A$5:$A$16,0)),3)</f>
        <v>0.156</v>
      </c>
      <c r="G6" s="5">
        <f>ROUND(INDEX(Vehicles!$E$5:$E$16,MATCH(E6,Vehicles!$A$5:$A$16,0))/INDEX('Trip Calculator'!$Z$5:$Z$16,MATCH(E6,'Trip Calculator'!$B$5:$B$16,0)),1)</f>
        <v>22.3</v>
      </c>
      <c r="H6" s="5">
        <f>ROUND((INDEX(Vehicles!$E$5:$E$16,MATCH(E6,Vehicles!$A$5:$A$16,0))+C6)/INDEX('Trip Calculator'!$Z$5:$Z$16,MATCH(E6,'Trip Calculator'!$B$5:$B$16,0)),1)</f>
        <v>25.7</v>
      </c>
      <c r="I6" s="5">
        <f>INDEX(Vehicles!$T$5:$T$16,MATCH(E6,Vehicles!$A$5:$A$16,0))</f>
        <v>40</v>
      </c>
      <c r="J6" s="12" t="inlineStr">
        <is>
          <t>Same rule as above.</t>
        </is>
      </c>
    </row>
    <row r="7" ht="30" customHeight="true">
      <c r="A7" s="22" t="inlineStr">
        <is>
          <t>hazmat</t>
        </is>
      </c>
      <c r="B7" s="22" t="inlineStr">
        <is>
          <t>Hazmat operating permit</t>
        </is>
      </c>
      <c r="C7" s="15" t="n">
        <v>800000</v>
      </c>
      <c r="D7" s="22" t="inlineStr">
        <is>
          <t>10</t>
        </is>
      </c>
      <c r="E7" s="11" t="n">
        <v>10</v>
      </c>
      <c r="F7" s="5">
        <f>ROUND(C7/INDEX(Vehicles!$E$5:$E$16,MATCH(E7,Vehicles!$A$5:$A$16,0)),3)</f>
        <v>0.16</v>
      </c>
      <c r="G7" s="5">
        <f>ROUND(INDEX(Vehicles!$E$5:$E$16,MATCH(E7,Vehicles!$A$5:$A$16,0))/INDEX('Trip Calculator'!$Z$5:$Z$16,MATCH(E7,'Trip Calculator'!$B$5:$B$16,0)),1)</f>
        <v>20.6</v>
      </c>
      <c r="H7" s="5">
        <f>ROUND((INDEX(Vehicles!$E$5:$E$16,MATCH(E7,Vehicles!$A$5:$A$16,0))+C7)/INDEX('Trip Calculator'!$Z$5:$Z$16,MATCH(E7,'Trip Calculator'!$B$5:$B$16,0)),1)</f>
        <v>23.9</v>
      </c>
      <c r="I7" s="5">
        <f>INDEX(Vehicles!$T$5:$T$16,MATCH(E7,Vehicles!$A$5:$A$16,0))</f>
        <v>80</v>
      </c>
      <c r="J7" s="12" t="inlineStr">
        <is>
          <t>Same rule as above.</t>
        </is>
      </c>
    </row>
    <row r="8" ht="30" customHeight="true">
      <c r="A8" s="22" t="inlineStr">
        <is>
          <t>heavy</t>
        </is>
      </c>
      <c r="B8" s="22" t="inlineStr">
        <is>
          <t>Heavy operating permit</t>
        </is>
      </c>
      <c r="C8" s="15" t="n">
        <v>1000000</v>
      </c>
      <c r="D8" s="22" t="inlineStr">
        <is>
          <t>9,11,12</t>
        </is>
      </c>
      <c r="E8" s="11" t="n">
        <v>9</v>
      </c>
      <c r="F8" s="5">
        <f>ROUND(C8/INDEX(Vehicles!$E$5:$E$16,MATCH(E8,Vehicles!$A$5:$A$16,0)),3)</f>
        <v>0.167</v>
      </c>
      <c r="G8" s="5">
        <f>ROUND(INDEX(Vehicles!$E$5:$E$16,MATCH(E8,Vehicles!$A$5:$A$16,0))/INDEX('Trip Calculator'!$Z$5:$Z$16,MATCH(E8,'Trip Calculator'!$B$5:$B$16,0)),1)</f>
        <v>33.0</v>
      </c>
      <c r="H8" s="5">
        <f>ROUND((INDEX(Vehicles!$E$5:$E$16,MATCH(E8,Vehicles!$A$5:$A$16,0))+C8)/INDEX('Trip Calculator'!$Z$5:$Z$16,MATCH(E8,'Trip Calculator'!$B$5:$B$16,0)),1)</f>
        <v>38.5</v>
      </c>
      <c r="I8" s="5">
        <f>INDEX(Vehicles!$T$5:$T$16,MATCH(E8,Vehicles!$A$5:$A$16,0))</f>
        <v>80</v>
      </c>
      <c r="J8" s="12" t="inlineStr">
        <is>
          <t>Same rule as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2026-10-21T10:28:37Z</dcterms:created>
  <dc:creator>openpyxl</dc:creator>
  <dc:description/>
  <dc:language>en-US</dc:language>
  <cp:lastModifiedBy/>
  <dcterms:modified xsi:type="dcterms:W3CDTF">2026-10-21T10:28:37Z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